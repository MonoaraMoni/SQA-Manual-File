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DELL\Desktop\REport\"/>
    </mc:Choice>
  </mc:AlternateContent>
  <xr:revisionPtr revIDLastSave="0" documentId="8_{61C4A160-4EAF-4FD6-915C-B0C74EC8F55E}" xr6:coauthVersionLast="47" xr6:coauthVersionMax="47" xr10:uidLastSave="{00000000-0000-0000-0000-000000000000}"/>
  <bookViews>
    <workbookView xWindow="-108" yWindow="-108" windowWidth="23256" windowHeight="12456" tabRatio="500" xr2:uid="{00000000-000D-0000-FFFF-FFFF00000000}"/>
  </bookViews>
  <sheets>
    <sheet name="Bug Report" sheetId="2" r:id="rId1"/>
    <sheet name="Summary" sheetId="1" r:id="rId2"/>
  </sheets>
  <calcPr calcId="19102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B4" i="2" l="1"/>
  <c r="B36" i="1"/>
  <c r="B32" i="1"/>
  <c r="C32" i="1" s="1"/>
  <c r="B31" i="1"/>
  <c r="C31" i="1" s="1"/>
  <c r="B30" i="1"/>
  <c r="B29" i="1"/>
  <c r="C29" i="1" s="1"/>
  <c r="B28" i="1"/>
  <c r="C28" i="1" s="1"/>
  <c r="B27" i="1"/>
  <c r="C27" i="1" s="1"/>
  <c r="B26" i="1"/>
  <c r="B25" i="1"/>
  <c r="C25" i="1" s="1"/>
  <c r="B24" i="1"/>
  <c r="B19" i="1"/>
  <c r="C19" i="1" s="1"/>
  <c r="B18" i="1"/>
  <c r="C18" i="1" s="1"/>
  <c r="B17" i="1"/>
  <c r="C17" i="1" s="1"/>
  <c r="B16" i="1"/>
  <c r="B20" i="1" s="1"/>
  <c r="B11" i="1"/>
  <c r="B10" i="1"/>
  <c r="C10" i="1" s="1"/>
  <c r="B9" i="1"/>
  <c r="C9" i="1" s="1"/>
  <c r="B8" i="1"/>
  <c r="B12" i="1" s="1"/>
  <c r="B4" i="1"/>
  <c r="C11" i="1" s="1"/>
  <c r="B3" i="1"/>
  <c r="B33" i="1" l="1"/>
  <c r="C26" i="1"/>
  <c r="C30" i="1"/>
  <c r="C8" i="1"/>
  <c r="C16" i="1"/>
  <c r="C24" i="1"/>
</calcChain>
</file>

<file path=xl/sharedStrings.xml><?xml version="1.0" encoding="utf-8"?>
<sst xmlns="http://schemas.openxmlformats.org/spreadsheetml/2006/main" count="411" uniqueCount="273">
  <si>
    <t>HireHub - Bug Report Summary</t>
  </si>
  <si>
    <t>Product Name</t>
  </si>
  <si>
    <t>Report Date</t>
  </si>
  <si>
    <t>Total Bugs Found</t>
  </si>
  <si>
    <t>Bugs by Severity</t>
  </si>
  <si>
    <t>Severity</t>
  </si>
  <si>
    <t>Count</t>
  </si>
  <si>
    <t>% of Total</t>
  </si>
  <si>
    <t>Critical</t>
  </si>
  <si>
    <t>High</t>
  </si>
  <si>
    <t>Medium</t>
  </si>
  <si>
    <t>Low</t>
  </si>
  <si>
    <t>Total</t>
  </si>
  <si>
    <t>Bugs by Priority</t>
  </si>
  <si>
    <t>Priority</t>
  </si>
  <si>
    <t>Bugs by Module</t>
  </si>
  <si>
    <t>Module</t>
  </si>
  <si>
    <t>Home Page</t>
  </si>
  <si>
    <t>Authentication</t>
  </si>
  <si>
    <t>Public Job Board</t>
  </si>
  <si>
    <t>Candidate Portal</t>
  </si>
  <si>
    <t>Recruiter Portal</t>
  </si>
  <si>
    <t>Admin Portal</t>
  </si>
  <si>
    <t>User Management / Candidate Grid Matrix</t>
  </si>
  <si>
    <t>Global Portal Dashboard UI / Layout Matrix</t>
  </si>
  <si>
    <t>Candidate Dashboard / Navigation Shortcut Blocks</t>
  </si>
  <si>
    <t>Critical Security Bugs</t>
  </si>
  <si>
    <t>HireHub - Bug Identification &amp; Reporting</t>
  </si>
  <si>
    <t>HireHub</t>
  </si>
  <si>
    <t>30/06/2026</t>
  </si>
  <si>
    <t>Application URL</t>
  </si>
  <si>
    <t>hirehub-client-mauve.vercel.app</t>
  </si>
  <si>
    <t>Reported By</t>
  </si>
  <si>
    <t>[Your Name]</t>
  </si>
  <si>
    <t>Environment</t>
  </si>
  <si>
    <t>Chrome Browser (Desktop &amp; Mobile), Vercel-hosted</t>
  </si>
  <si>
    <t>Bug ID</t>
  </si>
  <si>
    <t>Title</t>
  </si>
  <si>
    <t>Preconditions</t>
  </si>
  <si>
    <t>Steps to Reproduce</t>
  </si>
  <si>
    <t>Expected Result</t>
  </si>
  <si>
    <t>Actual Result</t>
  </si>
  <si>
    <t>Screenshot / Video Evidence</t>
  </si>
  <si>
    <t>BUG-001</t>
  </si>
  <si>
    <t>Broken navbar logo and missing brand name; mobile layout spacing issues</t>
  </si>
  <si>
    <t>Chrome Browser - Mobile View (412 x 915), Samsung Galaxy S20 Ultra, HireHub Web App (Vercel hosted)</t>
  </si>
  <si>
    <t>User is on browser</t>
  </si>
  <si>
    <t>1. Open HireHub Application URL.
2. Verify Header/Navbar elements (Logo, Home, Find Jobs, Sign In, Sign Up).
3. Check layout on different screen sizes.</t>
  </si>
  <si>
    <t>The home page will render perfectly, with all elements properly aligned and the design fully responsive.</t>
  </si>
  <si>
    <t>Step 1  are working as expected. Step 2:A major bug was found in the Header/Navbar component. The website's main logo image fails to load (displaying a broken image icon), and the text/brand name next to the logo is completely missing. However, other menu items (e.g., Find Jobs, Browse Companies, etc.) are rendering correctly. Step 3: Layout breaks on mobile screen sizes (e.g., Samsung Galaxy S20 Ultra). Bottom padding is missing, side padding is uneven, and top navbar icons lack proper spacing/alignment.</t>
  </si>
  <si>
    <t>https://prnt.sc/wnmBv74P17b5</t>
  </si>
  <si>
    <t>BUG-002</t>
  </si>
  <si>
    <t>Empty/blank search input displays dummy test data without validation</t>
  </si>
  <si>
    <t>Chrome Browser - Desktop, HireHub Web App (Vercel hosted)</t>
  </si>
  <si>
    <t>User is on Home Page</t>
  </si>
  <si>
    <t>1. Leave the search field empty, or enter only spaces, then click the search button.</t>
  </si>
  <si>
    <t>A validation error will be shown, or by default all available jobs will be listed; the system will not crash.</t>
  </si>
  <si>
    <t>Clicking the search button with an empty input field or only spaces redirects the user to the "Latest public jobs" page (/jobs) and displays all listings, including dummy/test data (e.g., 'ASDFXGCaa', 'aaaaaaaaaa'). No frontend validation error or empty-state restriction is triggered.</t>
  </si>
  <si>
    <t>https://www.loom.com/share/7dcfe696aac5439187def4b6882b43f1</t>
  </si>
  <si>
    <t>BUG-003</t>
  </si>
  <si>
    <t>Category filter returns 0 results and shows raw '[]' instead of empty-state UI</t>
  </si>
  <si>
    <t>1. Scroll down and view the category cards.
2. Click on any one category (e.g., Technology).</t>
  </si>
  <si>
    <t>Jobs under that specific category will be filtered and displayed.</t>
  </si>
  <si>
    <t>Clicking the category card (e.g., 'UI/UX &amp; Design') correctly adds the query parameter ?searchTerm=design to the URL. However, the system fails to fetch or display jobs properly, resulting in "0 public job listings" matched and raw code brackets [] rendering on the page instead of a clean empty-state UI.</t>
  </si>
  <si>
    <t>https://www.loom.com/share/57fd1ad61b7a4a3ba619c89ebe23d660</t>
  </si>
  <si>
    <t>BUG-004</t>
  </si>
  <si>
    <t>Featured Jobs section populated with dummy/placeholder data</t>
  </si>
  <si>
    <t>1. Scroll through the Featured Jobs section.
2. Check whether Job Title, Company Name, Location, and Job Type are displaying properly.</t>
  </si>
  <si>
    <t>All job details will accurately populate the visual template.</t>
  </si>
  <si>
    <t>The Featured Jobs section displays the structure of the cards properly, and elements like Job Title, Company Name, Location, and Job Type are visible. However, the system is populated with raw dummy/test data (e.g., Title: 'ASDFXGCaa', 'aaaaaaaaaa'; Location: 'ASDFXGCASDFXGC').</t>
  </si>
  <si>
    <t>https://www.loom.com/share/3fd4bc13626b464ab109322bad8b7f7c</t>
  </si>
  <si>
    <t>BUG-005</t>
  </si>
  <si>
    <t>Footer navigation links, social icons, and logo are broken/non-functional</t>
  </si>
  <si>
    <t>1. Scroll to the footer section.
2. Verify the social media icons (Facebook, LinkedIn) and the copyright text.</t>
  </si>
  <si>
    <t>Footer links will render properly and the text will be accurate.</t>
  </si>
  <si>
    <t>Multiple critical bugs found in the Footer section:
The brand logo image fails to load and shows a broken image icon.
Although social media icons (GitHub, Twitter, LinkedIn, Facebook) and copyright text are visible, clicking on the social media icons does not work (links are broken or unclickable).
None of the footer navigation links under "FOR CANDIDATES", "FOR EMPLOYERS", and "COMPANY &amp; LEGAL" (e.g., Explore Jobs, Post a Job, About Us, Privacy Policy, etc.) are functional; they do not open or redirect to any page.</t>
  </si>
  <si>
    <t>https://prnt.sc/cRO_qwR0pl8l</t>
  </si>
  <si>
    <t>BUG-006</t>
  </si>
  <si>
    <t>Missing role selection toggle (Admin/Recruiter/Candidate) on Sign In page</t>
  </si>
  <si>
    <t>User has a pre-registered account (Admin, Recruiter, or Candidate)</t>
  </si>
  <si>
    <t>1. Open the Sign In page (/sign-in).
2. Input a valid registered email address (e.g., recruiter@hirehub.com).
3. Input the correct matching password.
4. Click the 'Sign In' button.
5.Check the different user roles displayed on the Sign In / Sign Up page.</t>
  </si>
  <si>
    <t>The system validates credentials, establishes a secure JWT session, and safely redirects the user to their respective role-based dashboard dashboard panel.</t>
  </si>
  <si>
    <t>While the credentials input and basic login flow work, a bug was found in Step 5: There are no user role toggles or options (Admin/Recruiter/Candidate) displayed on the Sign In page, making it impossible to verify or switch between different roles during the login process.</t>
  </si>
  <si>
    <t>https://prnt.sc/TuxGiBVEAg-E</t>
  </si>
  <si>
    <t>BUG-007</t>
  </si>
  <si>
    <t>Sign Up form submission fails - no new account is created</t>
  </si>
  <si>
    <t>User is a fresh applicant visiting the public signup gate</t>
  </si>
  <si>
    <t>1. Open the Sign Up page.
2. Fill out unique matching values into User Name, Email, Password, and Confirm Password fields.
3. Click the 'Sign Up' action button.</t>
  </si>
  <si>
    <t>Account is generated successfully in the storage system and user receives a success confirmation message or automated route forwarding.</t>
  </si>
  <si>
    <t>The registration process fails in Step 3. After filling out all the required fields (User Name, Email, Password, and Confirm Password) with valid, unique details and clicking the 'Sign Up' action button, the system does not process the request. No new account is created, and the user remains stuck on the signup screen without any success message or validation feedback.</t>
  </si>
  <si>
    <t>https://prnt.sc/NFUi9T7e6DxM</t>
  </si>
  <si>
    <t>BUG-008</t>
  </si>
  <si>
    <t>Broken/missing 'auth-side-bg' banner image on Sign In page</t>
  </si>
  <si>
    <t>User is looking at the Sign In form design layer</t>
  </si>
  <si>
    <t>1. Type characters into the password field wrapper.
2. Click the eye mask toggle visibility icon widget button inside the field edge row.
3. Verify the broken/missing text indicators for the 'auth-side-bg' image banner placeholder area.</t>
  </si>
  <si>
    <t>Clicking the mask icon toggles text safely between masked dots and readable text. Broken asset tags for 'auth-side-bg' show that graphic images are missing.</t>
  </si>
  <si>
    <t>The password visibility toggle icon works as expected, successfully switching the password input visibility. However, a visual bug was found in Step 3: the side banner placeholder area (auth-side-bg) displays a broken/missing text image indicator, failing to render the background banner asset correctly.</t>
  </si>
  <si>
    <t>https://prnt.sc/tZFA7JSQdgvH</t>
  </si>
  <si>
    <t>BUG-009</t>
  </si>
  <si>
    <t>Job count mismatch: displays 'Total 54 Items' instead of expected 46</t>
  </si>
  <si>
    <t>User navigates to the public jobs feed subroute /jobs</t>
  </si>
  <si>
    <t>1. Open the HireHub Find Jobs portal page.
2. Observe the total item count text label ('Total 46 Items').
3. Click on the page pagination control button numbered '2'.</t>
  </si>
  <si>
    <t>The system seamlessly populates the next page grid cluster item sequence, matching exactly the incremental feed payload without broken element styles.</t>
  </si>
  <si>
    <t>A data validation bug was found in Step 2. The total item count text label displays "Total 54 Items" (as verified in image_c58abd.png), which contradicts the expected "Total 46 Items" layout specification. Clicking on the pagination control button numbered '2' successfully shifts the active state to page 2, but the underlying data remains as dummy strings.</t>
  </si>
  <si>
    <t>https://prnt.sc/iWYPNZb9xDEX
https://prnt.sc/iWYPNZb9xDEX</t>
  </si>
  <si>
    <t>BUG-010</t>
  </si>
  <si>
    <t>Job filter sidebar/panel missing on Find Jobs page</t>
  </si>
  <si>
    <t>User is browsing the job board filter pane</t>
  </si>
  <si>
    <t>1. Select the 'Full-Time' checkbox or value stream filter option.
2. In tandem, apply 'Entry level' or 'Mid level' constraints.</t>
  </si>
  <si>
    <t>The public board system queries and filters the view template immediately, showing only corresponding items matching both target properties.</t>
  </si>
  <si>
    <t>Critical UI bug found. There is no filter pane, sidebar, or checkbox widget available on the page to select 'Full-Time', 'Entry level', or 'Mid level' options as described in the steps. The interactive filter component is completely missing from the interface layout.</t>
  </si>
  <si>
    <t>https://prnt.sc/4FteVsaP8Ijb</t>
  </si>
  <si>
    <t>BUG-011</t>
  </si>
  <si>
    <t>Application submission fails with 'EROFS: read-only file system' error</t>
  </si>
  <si>
    <t>User clicks 'Apply Now' causing the application input panel overlay modal to pop up</t>
  </si>
  <si>
    <t>1. Complete required identity text input placeholders.
2. Attempt to drop or upload an invalid executable file (.exe) or a document layout exceeding 5MB boundary extremes.</t>
  </si>
  <si>
    <t>The system immediately detects the rule discrepancy and surfaces an validation message blocking the invalid document payload from hitting the backend server environment.</t>
  </si>
  <si>
    <t>A critical server-side uploading bug was captured during submission. Even when uploading a valid PDF document layout within the boundary size limits (415 KB), clicking 'Submit application' fails and throws a runtime toast error message notification: 'Submission failed - EROFS: read-only file system'.</t>
  </si>
  <si>
    <t>https://prnt.sc/7NJ1p0FDVXQ4</t>
  </si>
  <si>
    <t>BUG-012</t>
  </si>
  <si>
    <t>Missing client-side validation for empty/invalid application form fields</t>
  </si>
  <si>
    <t>The multi-tiered application workflow panel modal is visible to the applicant user</t>
  </si>
  <si>
    <t>1. Leave the required 'Full name' text field field entirely empty.
2. Input an unformatted string pattern missing structure indicators in the 'LinkedIn URL' field.
3. Trigger the submit operation.</t>
  </si>
  <si>
    <t>Input state signals validation errors beneath the mismatched field targets. The action is halted, preventing corrupt form submissions.</t>
  </si>
  <si>
    <t>A client-side validation bypass bug was caught in Step 3. Leaving the required 'Full name' field entirely empty and inputting an unformatted text pattern into the 'LinkedIn URL' field fails to trigger any local UI error indicators under the fields. The system blindly attempts to process the bad submission payload anyway, directly running into the same backend deployment error notification ('Submission failed - EROFS: read-only file system') instead of intercepting it locally.</t>
  </si>
  <si>
    <t>https://prnt.sc/HQdB9xLZX3gm</t>
  </si>
  <si>
    <t>BUG-013</t>
  </si>
  <si>
    <t>Admin account can access candidate-only application features (missing RBAC)</t>
  </si>
  <si>
    <t>Chrome Browser - Desktop, HireHub Web App (Vercel hosted), Admin session</t>
  </si>
  <si>
    <t>Admin user identity is currently loaded inside active application state</t>
  </si>
  <si>
    <t>1. Attempt to force invoke public candidate application triggers or access dedicated internal tracking paths designed for job seekers.</t>
  </si>
  <si>
    <t>The role constraint rules intercept the command, blocking illegal action vectors according to explicit privilege distribution logic specified in the assessment guidelines.</t>
  </si>
  <si>
    <t>A authorization constraint bug was discovered in Step 1. The system fails to enforce explicit privilege separation when loaded with an administrative identity template. The application does not intercept or block backend requests when attempting to force-invoke candidate application inputs, leaving internal tracking views exposed without proper permission filtering.</t>
  </si>
  <si>
    <t>https://prnt.sc/LsLTIdOp8aFw</t>
  </si>
  <si>
    <t>BUG-014</t>
  </si>
  <si>
    <t>Tampered/missing Authorization header does not return 401 Unauthorized</t>
  </si>
  <si>
    <t>Chrome Browser - Desktop, HireHub Web App (Vercel hosted), DevTools network interception</t>
  </si>
  <si>
    <t>User attempting unauthorized action processing</t>
  </si>
  <si>
    <t>1. Intercept the submit application network request packet.
2. Deliberately clear, damage, or wipe token keys out of the local processing header.</t>
  </si>
  <si>
    <t>The remote application server completely drops the transaction, throwing an unambiguous 401 Unauthorized secure response code.</t>
  </si>
  <si>
    <t>A severe security exception handling bug was identified in Step 2. When attempting unauthorized action processing by altering or wiping token keys from the request header, the remote application server fails to safely drop the transaction with a standard 401 Unauthorized secure response code. Instead, it lets the request penetrate further into the workspace, directly exposing raw system crash notifications ('EROFS: read-only file system').</t>
  </si>
  <si>
    <t>Screenshot attached (see Public Job Board evidence folder / BUG-014.png)</t>
  </si>
  <si>
    <t>BUG-015</t>
  </si>
  <si>
    <t>Candidate portal dashboard (/portal) with metrics and job recommendations is missing</t>
  </si>
  <si>
    <t>Chrome Browser - Desktop, HireHub Web App (Vercel hosted), Candidate session</t>
  </si>
  <si>
    <t>Candidate is logged in as 'John Doel' and viewing /portal</t>
  </si>
  <si>
    <t>1. Observe 'Recommended Jobs For You' section listings.
2. Verify metric tiles for Applications Sent (2), Interviews Scheduled (0), Profile Views (69).
3. Check the application tracking circle graph.</t>
  </si>
  <si>
    <t>The metrics display accurate data consistent with current job applications. Graph displays proper segment distribution.</t>
  </si>
  <si>
    <t>A critical feature gap bug was identified. The candidate portal path (/portal) and its associated summary dashboards are completely missing from the client application layout. There are no metric tiles available to verify the specified integers for Applications Sent (2), Interviews Scheduled (0), or Profile Views (69), nor is there an application tracking circle graph component rendered on the interface.</t>
  </si>
  <si>
    <t>https://prnt.sc/8DN0vY21d56R</t>
  </si>
  <si>
    <t>BUG-016</t>
  </si>
  <si>
    <t>Applied Jobs list renders corrupted placeholder text instead of application data</t>
  </si>
  <si>
    <t>Candidate is viewing the Applied Jobs matrix overview list</t>
  </si>
  <si>
    <t>1. Click the 'View Status' button matching the Software Engineer listing.
2. Observe unique application tracking string format (e.g., HH-156156-URMHMOGX).
3. Verify sequential progress step layout status flow.</t>
  </si>
  <si>
    <t>A popup modal layers properly on screen displaying correct details, showing an exact match for the Tracking format ID schema.</t>
  </si>
  <si>
    <t>A major data rendering bug was captured. The application list grid completely fails to load normal job context parameters or action indicators; instead, it renders corrupted placeholder text string rows ("aaaaaaaaaaaaaaaaaaaaaaaa..."). Consequently, no 'View Status' action button or unique tracking format ID code is visible or accessible to trigger the overlay progress modal layout.</t>
  </si>
  <si>
    <t>https://prnt.sc/6VlvBWuXYSWH</t>
  </si>
  <si>
    <t>BUG-017</t>
  </si>
  <si>
    <t>Candidate Profile edit feature (Education/Experience/Skills) is missing</t>
  </si>
  <si>
    <t>Candidate clicks 'Candidate Profile' sub-menu inside Settings</t>
  </si>
  <si>
    <t>1. Update values inside Education Background, Professional Experience, and Skills input fields.
2. Click 'Save Candidate Profile' trigger option.</t>
  </si>
  <si>
    <t>The profile information updates in the database successfully, and a completion indication changes proportionally.</t>
  </si>
  <si>
    <t>The feature is completely missing from the interface layout. Navigating to the 'Candidate Profile' sub-menu inside Settings is non-functional or inaccessible, and the required form view fields to update 'Education Background', 'Professional Experience', or 'Skills' are not rendered anywhere on the dashboard panel.</t>
  </si>
  <si>
    <t>https://prnt.sc/fRDA55eVrlL5</t>
  </si>
  <si>
    <t>BUG-018</t>
  </si>
  <si>
    <t>Candidate dashboard route loads Admin dashboard instead of candidate profile</t>
  </si>
  <si>
    <t>Candidate profile data fields are completely populated</t>
  </si>
  <si>
    <t>1. Check the 'Profile Completeness' indicator rendering layout on the dashboard section.</t>
  </si>
  <si>
    <t>The calculator logic must cap securely at a maximum limit of 100%. A boundary logic bug where it improperly displays 130% (as seen in Screenshot_1_6) is flagged.</t>
  </si>
  <si>
    <t>The targeted 'Profile Completeness' indicator is missing due to a profile role mismatch on the active layout. Navigating to /portal renders the "Command Center, HireHub Admin!" dashboard view instead of a candidate profile layout, as confirmed in image_fba2d5.png. The viewport displays admin-specific analytics components such as platform growth timelines and user breakdowns, with no profile configuration metrics present to verify boundary edge limitations.</t>
  </si>
  <si>
    <t>https://prnt.sc/6dgG7ZHjqyW0</t>
  </si>
  <si>
    <t>BUG-019</t>
  </si>
  <si>
    <t>Progress tracking modal and close button inaccessible due to broken applications list</t>
  </si>
  <si>
    <t>Candidate is browsing views across multiple display frame formats</t>
  </si>
  <si>
    <t>1. Trigger the application overview progress status sub-window model.
2. Click the 'X' button or 'Close' option component layer.</t>
  </si>
  <si>
    <t>The window asset dismisses instantly. Text formatting fits within bounding frames elegantly without overflowing element boundaries.</t>
  </si>
  <si>
    <t>The step could not be executed due to upstream rendering bugs. Since the application overview progress tracking modal layout fails to trigger or display on screen (due to corrupted data grid items), the 'X' close button or 'Close' option component layer is entirely inaccessible to verify overlay dismissal behavior.</t>
  </si>
  <si>
    <t>https://prnt.sc/tgm4RviDgcIv</t>
  </si>
  <si>
    <t>BUG-020</t>
  </si>
  <si>
    <t>Recruiter dashboard layout collapses; charts show corrupted placeholder data</t>
  </si>
  <si>
    <t>Chrome Browser - Desktop, HireHub Web App (Vercel hosted), Recruiter session</t>
  </si>
  <si>
    <t>Recruiter has an active session and lands on the main portal dashboard area</t>
  </si>
  <si>
    <t>1. Inspect the 'Job Postings Popularity' graph and 'Recent Applicant Pipeline' section table layout.
2. Verify system behavior when no applicant data exists yet.</t>
  </si>
  <si>
    <t>Dashboard graphs display empty state grids accurately; the placeholder component renders 'No application data yet' gracefully without UI breaking.</t>
  </si>
  <si>
    <t>Severe interface layout distortion and data corruption bugs are present. The recruiter dashboard layout collapses completely to the right margin of the viewport, leaving massive blank screen spaces on the left side of the panel. Furthermore, the 'Recent Applicant Pipeline' table and 'Job Postings Popularity' charts fail to map active database variables properly, rendering corrupted overflow placeholder strings consisting of repeated character arrays instead of clean, human-readable data rows.</t>
  </si>
  <si>
    <t>https://prnt.sc/d5FP4rm9nzAy</t>
  </si>
  <si>
    <t>BUG-021</t>
  </si>
  <si>
    <t>Recruiter job filters fail due to corrupted job listing data</t>
  </si>
  <si>
    <t>Recruiter is on the /portal/jobs dashboard viewing published listings</t>
  </si>
  <si>
    <t>1. Click the 'Filters' button to expand advanced search configurations.
2. Select Salary Range dropdown filter ('$60k - $100k') and Experience Level ('Senior').
3. Check the filtered data rows.</t>
  </si>
  <si>
    <t>The published roles grid updates instantaneously, showing exclusively the rows that match the compound dropdown filter requirements.</t>
  </si>
  <si>
    <t>The advanced filtering workflow cannot be validated due to active database cell corruption. Although the 'Filters' option component button expands successfully on the dashboard interface, the underlying jobs data grid remains entirely corrupted with long, repetitive character arrays. Because the rows contain unreadable layout text, selecting specific filters such as Salary Range or Experience Level fails to parse or isolate matching records correctly.</t>
  </si>
  <si>
    <t>https://prnt.sc/QyJjCoe20PHg</t>
  </si>
  <si>
    <t>BUG-022</t>
  </si>
  <si>
    <t>Candidate session token can access Recruiter's 'Create Job' route</t>
  </si>
  <si>
    <t>Candidate credentials session token is currently alive in browser cookies</t>
  </si>
  <si>
    <t>1. Paste the recruiter creation endpoint link route (/portal/jobs/new) straight into the address field wrapper of the browser.
2. Attempt to post data.</t>
  </si>
  <si>
    <t>The app intercepts the unauthorized role scope claim, throwing an access denied error block and routing the user safely back to candidate paths.</t>
  </si>
  <si>
    <t>Critical authorization flaw detected via horizontal privilege escalation. An active candidate credentials session token can directly bypass security barriers to access the restricted recruiter creation endpoint route (/portal/jobs/new). The routing ecosystem fails to intercept the unauthorized request or redirect the invalid session, rendering the full job publishing interface vulnerable to unauthorized data posting operations.</t>
  </si>
  <si>
    <t>https://prnt.sc/4wwWPq8LOJMB</t>
  </si>
  <si>
    <t>BUG-023</t>
  </si>
  <si>
    <t>Dropdown menus lose alignment/legibility on browser resize</t>
  </si>
  <si>
    <t>Chrome Browser - Desktop (variable resolutions), HireHub Web App (Vercel hosted)</t>
  </si>
  <si>
    <t>Recruiter moves across dashboard forms using variable screen resolutions</t>
  </si>
  <si>
    <t>1. Click dropdown selectors ('Employment Type' or 'Experience Level') and verify options are legible.
2. Resize browser window structure grid layouts.</t>
  </si>
  <si>
    <t>Dropdowns render above overlay sections perfectly. Table parameters dynamically warp text, ensuring elements do not overlap or break clipping frames.</t>
  </si>
  <si>
    <t>The application component framework fails responsive resolution testing. When resizing the browser window structure grid layouts, the responsive container wrapper collapses severely toward the right margin viewport boundaries, producing severe layout distortion. This structural compression breaks the flexible grid integration, causing dropdown selectors like 'Employment Type' or 'Experience Level' to lose proper rendering alignment and legibility across variable viewport widths.</t>
  </si>
  <si>
    <t>https://prnt.sc/XGyhk7_xWsqm</t>
  </si>
  <si>
    <t>BUG-025</t>
  </si>
  <si>
    <t>Recruiter search/filter in Admin User Management blocked by corrupted data</t>
  </si>
  <si>
    <t>Admin is on the /portal/users sub-interface route</t>
  </si>
  <si>
    <t>1. Click on the 'Recruiters' tab.
2. Select status filter dropdown option 'Active' or 'Suspended'.
3. Type a unique corporate identifier or keyword into the text search box input.</t>
  </si>
  <si>
    <t>The system instantly drops unmatched rows, accurately populating filtered cards or list items matching the query constraints.</t>
  </si>
  <si>
    <t>The recruiter list filtering and search mechanism cannot be validated due to active data corruption across the portal user grid layouts. While the 'Recruiters' tab interface and the status dropdown component filters are responsive, the rendering table rows remain flooded with long, corrupted placeholder strings consisting of repeated character arrays. Typing a unique corporate identifier or keyword into the text search box input fails to isolate target profiles because the query logic is blocked by the unreadable, distorted string values.</t>
  </si>
  <si>
    <t>https://prnt.sc/8fsyFQ4RNNWS
https://prnt.sc/uLxRZmiSN5BT</t>
  </si>
  <si>
    <t>BUG-026</t>
  </si>
  <si>
    <t>SQL Injection vulnerability in Admin platform registrations search</t>
  </si>
  <si>
    <t>Admin is completing string information updates on configuration layers</t>
  </si>
  <si>
    <t>1. Enter extreme length input boundaries (e.g., a Company Name string longer than 255 characters or negative numbers in limit thresholds).
2. Submit changes.</t>
  </si>
  <si>
    <t>The application layers trim, cut off, or safely reject input exceeding parameter limits, protecting data structures from overflow errors.</t>
  </si>
  <si>
    <t>The application's database filter queries are vulnerable to SQL Injection string executions. Attempting to search or filter using an active SQL snippet payload like " ' OR '1'='1 " inside the platform registration query inputs fails to be safely sanitized or escaped. The search engine processes the raw quotation parameters directly into the lookup command, causing database parsing conflicts and rendering corrupted data tables instead of securely neutralizing the query vector.</t>
  </si>
  <si>
    <t>https://prnt.sc/ZojyI95_fGYn</t>
  </si>
  <si>
    <t>BUG-027</t>
  </si>
  <si>
    <t>No max-length/boundary validation on Company Name and numeric fields</t>
  </si>
  <si>
    <t>Admin views Recent Platform Registrations or handles search inputs</t>
  </si>
  <si>
    <t>1. Identify the recorded malicious candidate name field containing an active SQL snippet query like " ' OR '1'='1 " (as captured in Screenshot_3).
2. Attempt to search or filter using this data string value.</t>
  </si>
  <si>
    <t>System utilizes param binding or character sanitization. The injection payload string handles as raw textual data without generating structural database breakdown risks.</t>
  </si>
  <si>
    <t>The interface validation logic fails to constrain extreme length inputs securely. Permitting a Company Name string input longer than 255 characters or negative numbers in limit thresholds does not trigger proper client-side validation blockers. The unvalidated extreme length payload bypasses text limits, leading to structural layout breaking bugs and data grid overflows instead of being safely rejected.</t>
  </si>
  <si>
    <t>https://prnt.sc/b2VxGmuJWNXD</t>
  </si>
  <si>
    <t>BUG-028</t>
  </si>
  <si>
    <t>Candidate can directly access Admin routes (/portal, /portal/users) without redirect</t>
  </si>
  <si>
    <t>Candidate credentials session is loaded in active state</t>
  </si>
  <si>
    <t>1. Manually type the administrative console path endpoint link (/portal, /portal/users) directly inside the browser address line field entry.</t>
  </si>
  <si>
    <t>Dynamic route guard checking processes intercept the call immediately, completely blocking template generation and forcing redirection to the user space.</t>
  </si>
  <si>
    <t>Critical authorization bypass detected via broken function-level access control. An active candidate credentials session can directly navigate to and load the administrative console path endpoints (/portal and /portal/users) when typed straight into the browser address line field. The system fails to intercept the unauthorized request, check account privileges, or redirect the session, exposing restricted administrative views to standard candidates.</t>
  </si>
  <si>
    <t>BUG-029</t>
  </si>
  <si>
    <t>Admin API endpoints return data without validating session token (IDOR)</t>
  </si>
  <si>
    <t>User is evaluating internal console API communication links</t>
  </si>
  <si>
    <t>1. Clear out session token elements from browser tracking arrays.
2. Attempt to hit active administrative data request paths (e.g., /portal/jobs table query triggers).</t>
  </si>
  <si>
    <t>Core framework drops data transmission immediately, returning an implicit unauthorized response error status code, blocking data leakage.</t>
  </si>
  <si>
    <t>Broken authentication and insecure direct object reference (IDOR) vulnerabilities exist. After clearing out session token elements from browser tracking arrays, attempting to hit active administrative data request paths (such as the /portal/jobs table query triggers) successfully bypasses authorization controls. The backend endpoints fail to validate token parameters, returning data payloads to an unauthenticated request instead of throwing a 401 Unauthorized status exception.</t>
  </si>
  <si>
    <t>https://prnt.sc/w3-bTlBdyKHP</t>
  </si>
  <si>
    <t>BUG-030</t>
  </si>
  <si>
    <t>Dark theme toggle causes severe layout distortion across admin tables</t>
  </si>
  <si>
    <t>Admin is moving across layout views on desktop screen displays</t>
  </si>
  <si>
    <t>1. Click the dark theme toggle icon button inside the top banner array.
2. Verify spacing consistency across data list page matrices.
3. Identify broken/missing layout files (e.g., missing 'auth-side-bg' references).</t>
  </si>
  <si>
    <t>Theme changes without breaking structural container layouts. Rows render within margin boundaries and columns scale properly during table page resizing operations.</t>
  </si>
  <si>
    <t>The theme toggle and layout spacing consistency check fails structural validation. Triggering the dark theme toggle icon button within the top banner array aggravates severe layout distortion across data list page matrices. The container wrapper layout grid collapses rigidly toward the right margin interface, causing massive inconsistent spacing and revealing broken alignment hooks derived from unmapped static layout resource files.</t>
  </si>
  <si>
    <t>BUG-031</t>
  </si>
  <si>
    <t>Administrative 'Delete' button action handler is non-functional across the user management candidate datatable matrix</t>
  </si>
  <si>
    <t>Chrome Browser - Desktop, HireHub Web App (Vercel hosted), Production Build Environment (/portal/users)</t>
  </si>
  <si>
    <t>User is logged in with administrative session privileges and actively evaluating the user collective management dashboard grid profiles.</t>
  </si>
  <si>
    <t>1. Navigate to the primary administrative 'Manage Users' control panel section (/portal/users).
2. Scroll down or paginate through the active database registry collection to view target candidate entity profiles.
3. Click the red 'Delete' action button element assigned to any targeted user row layout (such as the rows tracked in image_6bdee6.png).
4. Inspect the client browser network activity logs and monitor active UI notification toast states.</t>
  </si>
  <si>
    <t>The application framework must process a valid HTTP DELETE transaction payload, remove the target profile entity from the system database permanently, evict the corresponding table row from the front-end layout grid, and cleanly re-render the view state.</t>
  </si>
  <si>
    <t>The user data grid row eviction mechanism is completely broken across the matrix. Explicitly clicking the red 'Delete' action button component fails to initiate any API backend mutation handler or trigger a validation prompt. The user profile records remain completely static and persist on the screen. Additionally, as captured in image_6bdee6.png, long string properties for entity ID 25A1197F break spatial table constraints, creating massive container layout distortion.</t>
  </si>
  <si>
    <t>BUG-032</t>
  </si>
  <si>
    <t>Label Text Inconsistency between the left navigation sidebar menu and the right administrative quick actions array</t>
  </si>
  <si>
    <t>Chrome Browser - Desktop, HireHub Web App (Vercel hosted), Production Build Layout (/portal)</t>
  </si>
  <si>
    <t>User is logged in with active administrative tier privileges and viewing the centralized portal command workspace.</t>
  </si>
  <si>
    <t>1. Access the application portal and sign in using administrative profile credentials.
2. Observe the text labels inside the red highlighted left sidebar navigation menu array.
3. Compare them directly against the corresponding button label metrics displayed under the 'Administrative Actions' container block on the right side of the dashboard layout (as captured in Screenshot_6.png).</t>
  </si>
  <si>
    <t>Interface typography and nomenclature must be strictly synchronized and consistent across the workspace viewport. The feature labels on the dashboard quick actions block should exactly match the text descriptors used in the main navigation sidebar to maintain user legibility.</t>
  </si>
  <si>
    <t>Severe text inconsistency and mismatched UI labels are present across the viewport context as shown in Screenshot_6.png. The system lists "Manage Users", "All Jobs", and "Settings" in the left navigation layout while mapping the exact same component targets as "Manage All Users", "Monitor Active Jobs", and "Global System Settings" on the right banner actions grid. Additionally, the recurring text wrapping failure (User Management page/User Management page...) persists within the active platform registry section.</t>
  </si>
  <si>
    <t>BUG-033</t>
  </si>
  <si>
    <t>Broken routing configuration on 'Explore Job Market' quick link shortcut redirects candidates to access-denied error handler</t>
  </si>
  <si>
    <t>Chrome Browser - Desktop, HireHub Web App (Vercel hosted), Candidate Workspace Build (/portal)</t>
  </si>
  <si>
    <t>User is logged in with standard Candidate role credentials and actively viewing the main portal configuration terminal.</t>
  </si>
  <si>
    <t>1. Log into the application using valid Candidate platform profile credentials.
2. Locate the 'Candidate Shortcuts' sidebar widget array situated on the bottom right quadrant of the active view grid as highlighted in Screenshot_7.png.
3. Click explicitly on the first quick action wrapper element labeled "Explore Job Market".
4. Monitor the subsequent address URL transition changes and observe the resulting UI layout framework.</t>
  </si>
  <si>
    <t>The application interface must process the router path cleanly and dispatch the candidate to the active public vacancy explorer grid table or job listings workspace page.</t>
  </si>
  <si>
    <t>The action handler contains a critical layout configuration mismatch or dead router assignment. As tracked via Screenshot_7.png and image_6c4b43.png, triggering the "Explore Job Market" button mistakenly forces a redirection sequence straight into the restricted /access-denied link endpoint directory. The front-end layout breaks parameters and displays an incorrect "404 Ops! Page not found" fallback landing view to authorized candidates.</t>
  </si>
  <si>
    <t>https://kommodo.ai/i/XqQBiJorQ7U6Uy9yY7IN</t>
  </si>
  <si>
    <t>https://kommodo.ai/i/ef5hoSwPUjb37qNetTy8</t>
  </si>
  <si>
    <t>https://kommodo.ai/i/EZ263uB26x6cDfSo4obA</t>
  </si>
  <si>
    <t xml:space="preserve">Product Name: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</si>
</sst>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6"/>
      <color rgb="FF1F3864"/>
      <name val="Calibri"/>
      <charset val="1"/>
    </font>
    <font>
      <b/>
      <sz val="10"/>
      <name val="Calibri"/>
      <charset val="1"/>
    </font>
    <font>
      <b/>
      <sz val="12"/>
      <color rgb="FF1F3864"/>
      <name val="Calibri"/>
      <charset val="1"/>
    </font>
    <font>
      <b/>
      <sz val="10"/>
      <color rgb="FFFFFFFF"/>
      <name val="Calibri"/>
      <charset val="1"/>
    </font>
    <font>
      <sz val="10"/>
      <name val="Calibri"/>
      <charset val="1"/>
    </font>
    <font>
      <b/>
      <sz val="12"/>
      <color rgb="FF7F0000"/>
      <name val="Calibri"/>
      <charset val="1"/>
    </font>
    <font>
      <b/>
      <sz val="9"/>
      <name val="Calibri"/>
      <charset val="1"/>
    </font>
    <font>
      <sz val="9"/>
      <name val="Calibri"/>
      <charset val="1"/>
    </font>
    <font>
      <b/>
      <sz val="9"/>
      <color rgb="FFFFFFFF"/>
      <name val="Calibri"/>
      <charset val="1"/>
    </font>
    <font>
      <u/>
      <sz val="11"/>
      <color theme="10"/>
      <name val="Calibri"/>
      <family val="2"/>
      <charset val="1"/>
    </font>
  </fonts>
  <fills count="8">
    <fill>
      <patternFill patternType="none"/>
    </fill>
    <fill>
      <patternFill patternType="gray125"/>
    </fill>
    <fill>
      <patternFill patternType="solid">
        <fgColor rgb="FF1F3864"/>
        <bgColor rgb="FF333333"/>
      </patternFill>
    </fill>
    <fill>
      <patternFill patternType="solid">
        <fgColor rgb="FF7F0000"/>
        <bgColor rgb="FF800000"/>
      </patternFill>
    </fill>
    <fill>
      <patternFill patternType="solid">
        <fgColor rgb="FFFF0000"/>
        <bgColor rgb="FF993300"/>
      </patternFill>
    </fill>
    <fill>
      <patternFill patternType="solid">
        <fgColor rgb="FFFFC000"/>
        <bgColor rgb="FFFF9900"/>
      </patternFill>
    </fill>
    <fill>
      <patternFill patternType="solid">
        <fgColor rgb="FF00B050"/>
        <bgColor rgb="FF008080"/>
      </patternFill>
    </fill>
    <fill>
      <patternFill patternType="solid">
        <fgColor rgb="FFF2F2F2"/>
        <bgColor rgb="FFFFFFFF"/>
      </patternFill>
    </fill>
  </fills>
  <borders count="2">
    <border>
      <left/>
      <right/>
      <top/>
      <bottom/>
      <diagonal/>
    </border>
    <border>
      <left style="thin">
        <color rgb="FFB7B7B7"/>
      </left>
      <right style="thin">
        <color rgb="FFB7B7B7"/>
      </right>
      <top style="thin">
        <color rgb="FFB7B7B7"/>
      </top>
      <bottom style="thin">
        <color rgb="FFB7B7B7"/>
      </bottom>
      <diagonal/>
    </border>
  </borders>
  <cellStyleXfs count="2">
    <xf numFmtId="0" fontId="0" fillId="0" borderId="0"/>
    <xf numFmtId="0" fontId="10" fillId="0" borderId="0" applyNumberFormat="0" applyFill="0" applyBorder="0" applyAlignment="0" applyProtection="0"/>
  </cellStyleXfs>
  <cellXfs count="36">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4" fillId="3" borderId="1" xfId="0" applyFont="1" applyFill="1" applyBorder="1" applyAlignment="1">
      <alignment horizontal="left" vertical="center"/>
    </xf>
    <xf numFmtId="0" fontId="5" fillId="0" borderId="1" xfId="0" applyFont="1" applyBorder="1" applyAlignment="1">
      <alignment horizontal="center" vertical="center"/>
    </xf>
    <xf numFmtId="164" fontId="5" fillId="0" borderId="1" xfId="0" applyNumberFormat="1" applyFont="1" applyBorder="1" applyAlignment="1">
      <alignment horizontal="center" vertical="center"/>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0" fontId="4" fillId="6" borderId="1" xfId="0" applyFont="1" applyFill="1" applyBorder="1" applyAlignment="1">
      <alignment horizontal="left" vertical="center"/>
    </xf>
    <xf numFmtId="0" fontId="2" fillId="0" borderId="1" xfId="0" applyFont="1" applyBorder="1"/>
    <xf numFmtId="0" fontId="5" fillId="0" borderId="1" xfId="0" applyFont="1" applyBorder="1" applyAlignment="1">
      <alignment horizontal="left" vertical="center"/>
    </xf>
    <xf numFmtId="0" fontId="6" fillId="0" borderId="0" xfId="0" applyFont="1"/>
    <xf numFmtId="0" fontId="7" fillId="0" borderId="0" xfId="0" applyFont="1"/>
    <xf numFmtId="0" fontId="8" fillId="0" borderId="0" xfId="0" applyFont="1"/>
    <xf numFmtId="0" fontId="7" fillId="0" borderId="0" xfId="0" applyFont="1" applyAlignment="1">
      <alignment horizontal="center"/>
    </xf>
    <xf numFmtId="0" fontId="9" fillId="2" borderId="1" xfId="0" applyFont="1" applyFill="1" applyBorder="1" applyAlignment="1">
      <alignment horizontal="center" vertical="center" wrapText="1"/>
    </xf>
    <xf numFmtId="0" fontId="7" fillId="0" borderId="1" xfId="0" applyFont="1" applyBorder="1" applyAlignment="1">
      <alignment horizontal="center" vertical="center"/>
    </xf>
    <xf numFmtId="0" fontId="8" fillId="0" borderId="1" xfId="0" applyFont="1" applyBorder="1" applyAlignment="1">
      <alignment horizontal="left" vertical="top" wrapText="1"/>
    </xf>
    <xf numFmtId="0" fontId="8" fillId="0" borderId="1" xfId="0" applyFont="1" applyBorder="1" applyAlignment="1">
      <alignment horizontal="center" vertical="center"/>
    </xf>
    <xf numFmtId="0" fontId="9" fillId="5" borderId="1" xfId="0" applyFont="1" applyFill="1" applyBorder="1" applyAlignment="1">
      <alignment horizontal="center" vertical="center"/>
    </xf>
    <xf numFmtId="0" fontId="10" fillId="0" borderId="1" xfId="0" applyFont="1" applyBorder="1" applyAlignment="1">
      <alignment horizontal="left" vertical="top" wrapText="1"/>
    </xf>
    <xf numFmtId="0" fontId="7" fillId="7" borderId="1" xfId="0" applyFont="1" applyFill="1" applyBorder="1" applyAlignment="1">
      <alignment horizontal="center" vertical="center"/>
    </xf>
    <xf numFmtId="0" fontId="8" fillId="7" borderId="1" xfId="0" applyFont="1" applyFill="1" applyBorder="1" applyAlignment="1">
      <alignment horizontal="left" vertical="top" wrapText="1"/>
    </xf>
    <xf numFmtId="0" fontId="8" fillId="7"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7" borderId="1" xfId="0" applyFont="1" applyFill="1" applyBorder="1" applyAlignment="1">
      <alignment horizontal="left" vertical="top" wrapText="1"/>
    </xf>
    <xf numFmtId="0" fontId="9" fillId="4" borderId="1" xfId="0" applyFont="1" applyFill="1" applyBorder="1" applyAlignment="1">
      <alignment horizontal="center" vertical="center"/>
    </xf>
    <xf numFmtId="0" fontId="9" fillId="3"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0" fillId="7" borderId="1" xfId="1" applyFill="1" applyBorder="1" applyAlignment="1">
      <alignment horizontal="left" vertical="top" wrapText="1"/>
    </xf>
    <xf numFmtId="0" fontId="10" fillId="0" borderId="1" xfId="1" applyBorder="1" applyAlignment="1">
      <alignment horizontal="left" vertical="top" wrapText="1"/>
    </xf>
    <xf numFmtId="14" fontId="0" fillId="0" borderId="0" xfId="0" applyNumberFormat="1"/>
    <xf numFmtId="0" fontId="1"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0000"/>
      <rgbColor rgb="FF008000"/>
      <rgbColor rgb="FF000080"/>
      <rgbColor rgb="FF808000"/>
      <rgbColor rgb="FF800080"/>
      <rgbColor rgb="FF00B050"/>
      <rgbColor rgb="FFB7B7B7"/>
      <rgbColor rgb="FF4F81BD"/>
      <rgbColor rgb="FF93A9CE"/>
      <rgbColor rgb="FFAB4744"/>
      <rgbColor rgb="FFF2F2F2"/>
      <rgbColor rgb="FFCCFFFF"/>
      <rgbColor rgb="FF660066"/>
      <rgbColor rgb="FFDC853E"/>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B3B3B3"/>
      <rgbColor rgb="FFD09493"/>
      <rgbColor rgb="FFCC99FF"/>
      <rgbColor rgb="FFB8CD97"/>
      <rgbColor rgb="FF4672A8"/>
      <rgbColor rgb="FF33CCCC"/>
      <rgbColor rgb="FF99CC00"/>
      <rgbColor rgb="FFFFC000"/>
      <rgbColor rgb="FFFF9900"/>
      <rgbColor rgb="FFFF6600"/>
      <rgbColor rgb="FF725990"/>
      <rgbColor rgb="FF8AA64F"/>
      <rgbColor rgb="FF1F3864"/>
      <rgbColor rgb="FF4299B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Bugs by Severity</a:t>
            </a:r>
          </a:p>
        </c:rich>
      </c:tx>
      <c:overlay val="0"/>
      <c:spPr>
        <a:noFill/>
        <a:ln w="0">
          <a:noFill/>
        </a:ln>
      </c:spPr>
    </c:title>
    <c:autoTitleDeleted val="0"/>
    <c:plotArea>
      <c:layout/>
      <c:barChart>
        <c:barDir val="col"/>
        <c:grouping val="clustered"/>
        <c:varyColors val="0"/>
        <c:ser>
          <c:idx val="0"/>
          <c:order val="0"/>
          <c:tx>
            <c:strRef>
              <c:f>Summary!$B$7</c:f>
              <c:strCache>
                <c:ptCount val="1"/>
                <c:pt idx="0">
                  <c:v>Count</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n-US"/>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Summary!$A$8:$A$11</c:f>
              <c:strCache>
                <c:ptCount val="4"/>
                <c:pt idx="0">
                  <c:v>Critical</c:v>
                </c:pt>
                <c:pt idx="1">
                  <c:v>High</c:v>
                </c:pt>
                <c:pt idx="2">
                  <c:v>Medium</c:v>
                </c:pt>
                <c:pt idx="3">
                  <c:v>Low</c:v>
                </c:pt>
              </c:strCache>
            </c:strRef>
          </c:cat>
          <c:val>
            <c:numRef>
              <c:f>Summary!$B$8:$B$11</c:f>
              <c:numCache>
                <c:formatCode>General</c:formatCode>
                <c:ptCount val="4"/>
                <c:pt idx="0">
                  <c:v>7</c:v>
                </c:pt>
                <c:pt idx="1">
                  <c:v>11</c:v>
                </c:pt>
                <c:pt idx="2">
                  <c:v>10</c:v>
                </c:pt>
                <c:pt idx="3">
                  <c:v>4</c:v>
                </c:pt>
              </c:numCache>
            </c:numRef>
          </c:val>
          <c:extLst>
            <c:ext xmlns:c16="http://schemas.microsoft.com/office/drawing/2014/chart" uri="{C3380CC4-5D6E-409C-BE32-E72D297353CC}">
              <c16:uniqueId val="{00000000-F30F-4B15-815E-5DD475AFADF9}"/>
            </c:ext>
          </c:extLst>
        </c:ser>
        <c:dLbls>
          <c:showLegendKey val="0"/>
          <c:showVal val="0"/>
          <c:showCatName val="0"/>
          <c:showSerName val="0"/>
          <c:showPercent val="0"/>
          <c:showBubbleSize val="0"/>
        </c:dLbls>
        <c:gapWidth val="150"/>
        <c:axId val="31888449"/>
        <c:axId val="52765980"/>
      </c:barChart>
      <c:catAx>
        <c:axId val="31888449"/>
        <c:scaling>
          <c:orientation val="minMax"/>
        </c:scaling>
        <c:delete val="0"/>
        <c:axPos val="b"/>
        <c:title>
          <c:tx>
            <c:rich>
              <a:bodyPr rot="0"/>
              <a:lstStyle/>
              <a:p>
                <a:pPr>
                  <a:defRPr sz="1000" b="1" strike="noStrike" spc="-1">
                    <a:solidFill>
                      <a:srgbClr val="000000"/>
                    </a:solidFill>
                    <a:latin typeface="Calibri"/>
                  </a:defRPr>
                </a:pPr>
                <a:r>
                  <a:rPr lang="en-US" sz="1000" b="1" strike="noStrike" spc="-1">
                    <a:solidFill>
                      <a:srgbClr val="000000"/>
                    </a:solidFill>
                    <a:latin typeface="Calibri"/>
                  </a:rPr>
                  <a:t>Severity</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2765980"/>
        <c:crosses val="autoZero"/>
        <c:auto val="1"/>
        <c:lblAlgn val="ctr"/>
        <c:lblOffset val="100"/>
        <c:noMultiLvlLbl val="0"/>
      </c:catAx>
      <c:valAx>
        <c:axId val="52765980"/>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Count</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31888449"/>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Bugs by Module</a:t>
            </a:r>
          </a:p>
        </c:rich>
      </c:tx>
      <c:overlay val="0"/>
      <c:spPr>
        <a:noFill/>
        <a:ln w="0">
          <a:noFill/>
        </a:ln>
      </c:spPr>
    </c:title>
    <c:autoTitleDeleted val="0"/>
    <c:plotArea>
      <c:layout/>
      <c:pieChart>
        <c:varyColors val="1"/>
        <c:ser>
          <c:idx val="0"/>
          <c:order val="0"/>
          <c:tx>
            <c:strRef>
              <c:f>Summary!$B$23</c:f>
              <c:strCache>
                <c:ptCount val="1"/>
                <c:pt idx="0">
                  <c:v>Count</c:v>
                </c:pt>
              </c:strCache>
            </c:strRef>
          </c:tx>
          <c:spPr>
            <a:solidFill>
              <a:srgbClr val="4F81BD"/>
            </a:solidFill>
            <a:ln w="0">
              <a:noFill/>
            </a:ln>
          </c:spPr>
          <c:dPt>
            <c:idx val="0"/>
            <c:bubble3D val="0"/>
            <c:spPr>
              <a:solidFill>
                <a:srgbClr val="4672A8"/>
              </a:solidFill>
              <a:ln w="0">
                <a:noFill/>
              </a:ln>
            </c:spPr>
            <c:extLst>
              <c:ext xmlns:c16="http://schemas.microsoft.com/office/drawing/2014/chart" uri="{C3380CC4-5D6E-409C-BE32-E72D297353CC}">
                <c16:uniqueId val="{00000001-A637-447D-B616-015722EFACEA}"/>
              </c:ext>
            </c:extLst>
          </c:dPt>
          <c:dPt>
            <c:idx val="1"/>
            <c:bubble3D val="0"/>
            <c:spPr>
              <a:solidFill>
                <a:srgbClr val="AB4744"/>
              </a:solidFill>
              <a:ln w="0">
                <a:noFill/>
              </a:ln>
            </c:spPr>
            <c:extLst>
              <c:ext xmlns:c16="http://schemas.microsoft.com/office/drawing/2014/chart" uri="{C3380CC4-5D6E-409C-BE32-E72D297353CC}">
                <c16:uniqueId val="{00000003-A637-447D-B616-015722EFACEA}"/>
              </c:ext>
            </c:extLst>
          </c:dPt>
          <c:dPt>
            <c:idx val="2"/>
            <c:bubble3D val="0"/>
            <c:spPr>
              <a:solidFill>
                <a:srgbClr val="8AA64F"/>
              </a:solidFill>
              <a:ln w="0">
                <a:noFill/>
              </a:ln>
            </c:spPr>
            <c:extLst>
              <c:ext xmlns:c16="http://schemas.microsoft.com/office/drawing/2014/chart" uri="{C3380CC4-5D6E-409C-BE32-E72D297353CC}">
                <c16:uniqueId val="{00000005-A637-447D-B616-015722EFACEA}"/>
              </c:ext>
            </c:extLst>
          </c:dPt>
          <c:dPt>
            <c:idx val="3"/>
            <c:bubble3D val="0"/>
            <c:spPr>
              <a:solidFill>
                <a:srgbClr val="725990"/>
              </a:solidFill>
              <a:ln w="0">
                <a:noFill/>
              </a:ln>
            </c:spPr>
            <c:extLst>
              <c:ext xmlns:c16="http://schemas.microsoft.com/office/drawing/2014/chart" uri="{C3380CC4-5D6E-409C-BE32-E72D297353CC}">
                <c16:uniqueId val="{00000007-A637-447D-B616-015722EFACEA}"/>
              </c:ext>
            </c:extLst>
          </c:dPt>
          <c:dPt>
            <c:idx val="4"/>
            <c:bubble3D val="0"/>
            <c:spPr>
              <a:solidFill>
                <a:srgbClr val="4299B0"/>
              </a:solidFill>
              <a:ln w="0">
                <a:noFill/>
              </a:ln>
            </c:spPr>
            <c:extLst>
              <c:ext xmlns:c16="http://schemas.microsoft.com/office/drawing/2014/chart" uri="{C3380CC4-5D6E-409C-BE32-E72D297353CC}">
                <c16:uniqueId val="{00000009-A637-447D-B616-015722EFACEA}"/>
              </c:ext>
            </c:extLst>
          </c:dPt>
          <c:dPt>
            <c:idx val="5"/>
            <c:bubble3D val="0"/>
            <c:spPr>
              <a:solidFill>
                <a:srgbClr val="DC853E"/>
              </a:solidFill>
              <a:ln w="0">
                <a:noFill/>
              </a:ln>
            </c:spPr>
            <c:extLst>
              <c:ext xmlns:c16="http://schemas.microsoft.com/office/drawing/2014/chart" uri="{C3380CC4-5D6E-409C-BE32-E72D297353CC}">
                <c16:uniqueId val="{0000000B-A637-447D-B616-015722EFACEA}"/>
              </c:ext>
            </c:extLst>
          </c:dPt>
          <c:dPt>
            <c:idx val="6"/>
            <c:bubble3D val="0"/>
            <c:spPr>
              <a:solidFill>
                <a:srgbClr val="93A9CE"/>
              </a:solidFill>
              <a:ln w="0">
                <a:noFill/>
              </a:ln>
            </c:spPr>
            <c:extLst>
              <c:ext xmlns:c16="http://schemas.microsoft.com/office/drawing/2014/chart" uri="{C3380CC4-5D6E-409C-BE32-E72D297353CC}">
                <c16:uniqueId val="{0000000D-A637-447D-B616-015722EFACEA}"/>
              </c:ext>
            </c:extLst>
          </c:dPt>
          <c:dPt>
            <c:idx val="7"/>
            <c:bubble3D val="0"/>
            <c:spPr>
              <a:solidFill>
                <a:srgbClr val="D09493"/>
              </a:solidFill>
              <a:ln w="0">
                <a:noFill/>
              </a:ln>
            </c:spPr>
            <c:extLst>
              <c:ext xmlns:c16="http://schemas.microsoft.com/office/drawing/2014/chart" uri="{C3380CC4-5D6E-409C-BE32-E72D297353CC}">
                <c16:uniqueId val="{0000000F-A637-447D-B616-015722EFACEA}"/>
              </c:ext>
            </c:extLst>
          </c:dPt>
          <c:dPt>
            <c:idx val="8"/>
            <c:bubble3D val="0"/>
            <c:spPr>
              <a:solidFill>
                <a:srgbClr val="B8CD97"/>
              </a:solidFill>
              <a:ln w="0">
                <a:noFill/>
              </a:ln>
            </c:spPr>
            <c:extLst>
              <c:ext xmlns:c16="http://schemas.microsoft.com/office/drawing/2014/chart" uri="{C3380CC4-5D6E-409C-BE32-E72D297353CC}">
                <c16:uniqueId val="{00000011-A637-447D-B616-015722EFACEA}"/>
              </c:ext>
            </c:extLst>
          </c:dPt>
          <c:dLbls>
            <c:dLbl>
              <c:idx val="0"/>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A637-447D-B616-015722EFACEA}"/>
                </c:ext>
              </c:extLst>
            </c:dLbl>
            <c:dLbl>
              <c:idx val="1"/>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A637-447D-B616-015722EFACEA}"/>
                </c:ext>
              </c:extLst>
            </c:dLbl>
            <c:dLbl>
              <c:idx val="2"/>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A637-447D-B616-015722EFACEA}"/>
                </c:ext>
              </c:extLst>
            </c:dLbl>
            <c:dLbl>
              <c:idx val="3"/>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A637-447D-B616-015722EFACEA}"/>
                </c:ext>
              </c:extLst>
            </c:dLbl>
            <c:dLbl>
              <c:idx val="4"/>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9-A637-447D-B616-015722EFACEA}"/>
                </c:ext>
              </c:extLst>
            </c:dLbl>
            <c:dLbl>
              <c:idx val="5"/>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B-A637-447D-B616-015722EFACEA}"/>
                </c:ext>
              </c:extLst>
            </c:dLbl>
            <c:dLbl>
              <c:idx val="6"/>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D-A637-447D-B616-015722EFACEA}"/>
                </c:ext>
              </c:extLst>
            </c:dLbl>
            <c:dLbl>
              <c:idx val="7"/>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F-A637-447D-B616-015722EFACEA}"/>
                </c:ext>
              </c:extLst>
            </c:dLbl>
            <c:dLbl>
              <c:idx val="8"/>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11-A637-447D-B616-015722EFACEA}"/>
                </c:ext>
              </c:extLst>
            </c:dLbl>
            <c:spPr>
              <a:noFill/>
              <a:ln>
                <a:noFill/>
              </a:ln>
              <a:effectLst/>
            </c:spPr>
            <c:txPr>
              <a:bodyPr wrap="square"/>
              <a:lstStyle/>
              <a:p>
                <a:pPr>
                  <a:defRPr sz="1000" b="0" strike="noStrike" spc="-1">
                    <a:solidFill>
                      <a:srgbClr val="000000"/>
                    </a:solidFill>
                    <a:latin typeface="Arial"/>
                  </a:defRPr>
                </a:pPr>
                <a:endParaRPr lang="en-US"/>
              </a:p>
            </c:txPr>
            <c:dLblPos val="bestFit"/>
            <c:showLegendKey val="0"/>
            <c:showVal val="0"/>
            <c:showCatName val="0"/>
            <c:showSerName val="0"/>
            <c:showPercent val="0"/>
            <c:showBubbleSize val="1"/>
            <c:separator>; </c:separator>
            <c:showLeaderLines val="1"/>
            <c:extLst>
              <c:ext xmlns:c15="http://schemas.microsoft.com/office/drawing/2012/chart" uri="{CE6537A1-D6FC-4f65-9D91-7224C49458BB}"/>
            </c:extLst>
          </c:dLbls>
          <c:cat>
            <c:strRef>
              <c:f>Summary!$A$24:$A$32</c:f>
              <c:strCache>
                <c:ptCount val="9"/>
                <c:pt idx="0">
                  <c:v>Home Page</c:v>
                </c:pt>
                <c:pt idx="1">
                  <c:v>Authentication</c:v>
                </c:pt>
                <c:pt idx="2">
                  <c:v>Public Job Board</c:v>
                </c:pt>
                <c:pt idx="3">
                  <c:v>Candidate Portal</c:v>
                </c:pt>
                <c:pt idx="4">
                  <c:v>Recruiter Portal</c:v>
                </c:pt>
                <c:pt idx="5">
                  <c:v>Admin Portal</c:v>
                </c:pt>
                <c:pt idx="6">
                  <c:v>User Management / Candidate Grid Matrix</c:v>
                </c:pt>
                <c:pt idx="7">
                  <c:v>Global Portal Dashboard UI / Layout Matrix</c:v>
                </c:pt>
                <c:pt idx="8">
                  <c:v>Candidate Dashboard / Navigation Shortcut Blocks</c:v>
                </c:pt>
              </c:strCache>
            </c:strRef>
          </c:cat>
          <c:val>
            <c:numRef>
              <c:f>Summary!$B$24:$B$32</c:f>
              <c:numCache>
                <c:formatCode>General</c:formatCode>
                <c:ptCount val="9"/>
                <c:pt idx="0">
                  <c:v>5</c:v>
                </c:pt>
                <c:pt idx="1">
                  <c:v>4</c:v>
                </c:pt>
                <c:pt idx="2">
                  <c:v>5</c:v>
                </c:pt>
                <c:pt idx="3">
                  <c:v>5</c:v>
                </c:pt>
                <c:pt idx="4">
                  <c:v>4</c:v>
                </c:pt>
                <c:pt idx="5">
                  <c:v>6</c:v>
                </c:pt>
                <c:pt idx="6">
                  <c:v>1</c:v>
                </c:pt>
                <c:pt idx="7">
                  <c:v>1</c:v>
                </c:pt>
                <c:pt idx="8">
                  <c:v>1</c:v>
                </c:pt>
              </c:numCache>
            </c:numRef>
          </c:val>
          <c:extLst>
            <c:ext xmlns:c16="http://schemas.microsoft.com/office/drawing/2014/chart" uri="{C3380CC4-5D6E-409C-BE32-E72D297353CC}">
              <c16:uniqueId val="{00000012-A637-447D-B616-015722EFACEA}"/>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4</xdr:row>
      <xdr:rowOff>131040</xdr:rowOff>
    </xdr:from>
    <xdr:to>
      <xdr:col>12</xdr:col>
      <xdr:colOff>38880</xdr:colOff>
      <xdr:row>17</xdr:row>
      <xdr:rowOff>173520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20</xdr:row>
      <xdr:rowOff>131040</xdr:rowOff>
    </xdr:from>
    <xdr:to>
      <xdr:col>13</xdr:col>
      <xdr:colOff>147240</xdr:colOff>
      <xdr:row>37</xdr:row>
      <xdr:rowOff>131760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prnt.sc/tZFA7JSQdgvH" TargetMode="External"/><Relationship Id="rId13" Type="http://schemas.openxmlformats.org/officeDocument/2006/relationships/hyperlink" Target="https://prnt.sc/8DN0vY21d56R" TargetMode="External"/><Relationship Id="rId18" Type="http://schemas.openxmlformats.org/officeDocument/2006/relationships/hyperlink" Target="https://prnt.sc/d5FP4rm9nzAy" TargetMode="External"/><Relationship Id="rId26" Type="http://schemas.openxmlformats.org/officeDocument/2006/relationships/hyperlink" Target="https://kommodo.ai/i/EZ263uB26x6cDfSo4obA" TargetMode="External"/><Relationship Id="rId3" Type="http://schemas.openxmlformats.org/officeDocument/2006/relationships/hyperlink" Target="https://www.loom.com/share/57fd1ad61b7a4a3ba619c89ebe23d660" TargetMode="External"/><Relationship Id="rId21" Type="http://schemas.openxmlformats.org/officeDocument/2006/relationships/hyperlink" Target="https://prnt.sc/XGyhk7_xWsqm" TargetMode="External"/><Relationship Id="rId7" Type="http://schemas.openxmlformats.org/officeDocument/2006/relationships/hyperlink" Target="https://prnt.sc/NFUi9T7e6DxM" TargetMode="External"/><Relationship Id="rId12" Type="http://schemas.openxmlformats.org/officeDocument/2006/relationships/hyperlink" Target="https://prnt.sc/LsLTIdOp8aFw" TargetMode="External"/><Relationship Id="rId17" Type="http://schemas.openxmlformats.org/officeDocument/2006/relationships/hyperlink" Target="https://prnt.sc/tgm4RviDgcIv" TargetMode="External"/><Relationship Id="rId25" Type="http://schemas.openxmlformats.org/officeDocument/2006/relationships/hyperlink" Target="https://kommodo.ai/i/ef5hoSwPUjb37qNetTy8" TargetMode="External"/><Relationship Id="rId2" Type="http://schemas.openxmlformats.org/officeDocument/2006/relationships/hyperlink" Target="https://www.loom.com/share/7dcfe696aac5439187def4b6882b43f1" TargetMode="External"/><Relationship Id="rId16" Type="http://schemas.openxmlformats.org/officeDocument/2006/relationships/hyperlink" Target="https://prnt.sc/6dgG7ZHjqyW0" TargetMode="External"/><Relationship Id="rId20" Type="http://schemas.openxmlformats.org/officeDocument/2006/relationships/hyperlink" Target="https://prnt.sc/4wwWPq8LOJMB" TargetMode="External"/><Relationship Id="rId1" Type="http://schemas.openxmlformats.org/officeDocument/2006/relationships/hyperlink" Target="https://prnt.sc/wnmBv74P17b5" TargetMode="External"/><Relationship Id="rId6" Type="http://schemas.openxmlformats.org/officeDocument/2006/relationships/hyperlink" Target="https://prnt.sc/TuxGiBVEAg-E" TargetMode="External"/><Relationship Id="rId11" Type="http://schemas.openxmlformats.org/officeDocument/2006/relationships/hyperlink" Target="https://prnt.sc/HQdB9xLZX3gm" TargetMode="External"/><Relationship Id="rId24" Type="http://schemas.openxmlformats.org/officeDocument/2006/relationships/hyperlink" Target="https://kommodo.ai/i/XqQBiJorQ7U6Uy9yY7IN" TargetMode="External"/><Relationship Id="rId5" Type="http://schemas.openxmlformats.org/officeDocument/2006/relationships/hyperlink" Target="https://prnt.sc/cRO_qwR0pl8l" TargetMode="External"/><Relationship Id="rId15" Type="http://schemas.openxmlformats.org/officeDocument/2006/relationships/hyperlink" Target="https://prnt.sc/fRDA55eVrlL5" TargetMode="External"/><Relationship Id="rId23" Type="http://schemas.openxmlformats.org/officeDocument/2006/relationships/hyperlink" Target="https://prnt.sc/w3-bTlBdyKHP" TargetMode="External"/><Relationship Id="rId10" Type="http://schemas.openxmlformats.org/officeDocument/2006/relationships/hyperlink" Target="https://prnt.sc/7NJ1p0FDVXQ4" TargetMode="External"/><Relationship Id="rId19" Type="http://schemas.openxmlformats.org/officeDocument/2006/relationships/hyperlink" Target="https://prnt.sc/QyJjCoe20PHg" TargetMode="External"/><Relationship Id="rId4" Type="http://schemas.openxmlformats.org/officeDocument/2006/relationships/hyperlink" Target="https://www.loom.com/share/3fd4bc13626b464ab109322bad8b7f7c" TargetMode="External"/><Relationship Id="rId9" Type="http://schemas.openxmlformats.org/officeDocument/2006/relationships/hyperlink" Target="https://prnt.sc/4FteVsaP8Ijb" TargetMode="External"/><Relationship Id="rId14" Type="http://schemas.openxmlformats.org/officeDocument/2006/relationships/hyperlink" Target="https://prnt.sc/6VlvBWuXYSWH" TargetMode="External"/><Relationship Id="rId22" Type="http://schemas.openxmlformats.org/officeDocument/2006/relationships/hyperlink" Target="https://prnt.sc/ZojyI95_fGY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0"/>
  <sheetViews>
    <sheetView showGridLines="0" tabSelected="1" zoomScale="70" zoomScaleNormal="70" workbookViewId="0">
      <pane ySplit="8" topLeftCell="A37" activePane="bottomLeft" state="frozen"/>
      <selection sqref="A1:D1"/>
      <selection pane="bottomLeft" activeCell="K38" sqref="K38"/>
    </sheetView>
  </sheetViews>
  <sheetFormatPr defaultColWidth="8.6640625" defaultRowHeight="14.4" x14ac:dyDescent="0.3"/>
  <cols>
    <col min="1" max="1" width="10" customWidth="1"/>
    <col min="2" max="2" width="34" customWidth="1"/>
    <col min="3" max="3" width="15" customWidth="1"/>
    <col min="4" max="5" width="10" customWidth="1"/>
    <col min="6" max="6" width="26" customWidth="1"/>
    <col min="7" max="7" width="30" customWidth="1"/>
    <col min="8" max="9" width="34" customWidth="1"/>
    <col min="10" max="10" width="38" customWidth="1"/>
    <col min="11" max="11" width="26" customWidth="1"/>
  </cols>
  <sheetData>
    <row r="1" spans="1:11" ht="21.75" customHeight="1" x14ac:dyDescent="0.4">
      <c r="A1" s="35" t="s">
        <v>27</v>
      </c>
      <c r="B1" s="35"/>
      <c r="C1" s="35"/>
    </row>
    <row r="2" spans="1:11" ht="14.25" customHeight="1" x14ac:dyDescent="0.3">
      <c r="A2" s="13" t="s">
        <v>1</v>
      </c>
      <c r="B2" s="14" t="s">
        <v>28</v>
      </c>
      <c r="D2" s="13" t="s">
        <v>2</v>
      </c>
      <c r="E2" s="14" t="s">
        <v>29</v>
      </c>
      <c r="H2" s="15"/>
    </row>
    <row r="3" spans="1:11" ht="14.25" customHeight="1" x14ac:dyDescent="0.3">
      <c r="A3" s="13" t="s">
        <v>30</v>
      </c>
      <c r="B3" s="14" t="s">
        <v>31</v>
      </c>
      <c r="D3" s="13" t="s">
        <v>32</v>
      </c>
      <c r="E3" s="14" t="s">
        <v>33</v>
      </c>
      <c r="H3" s="15"/>
    </row>
    <row r="4" spans="1:11" ht="14.25" customHeight="1" x14ac:dyDescent="0.3">
      <c r="A4" s="13" t="s">
        <v>3</v>
      </c>
      <c r="B4" s="14">
        <f>COUNTA(A9:A40)</f>
        <v>32</v>
      </c>
      <c r="D4" s="13" t="s">
        <v>34</v>
      </c>
      <c r="E4" s="14" t="s">
        <v>35</v>
      </c>
      <c r="H4" s="15"/>
    </row>
    <row r="5" spans="1:11" ht="14.25" customHeight="1" x14ac:dyDescent="0.3">
      <c r="H5" s="15"/>
    </row>
    <row r="6" spans="1:11" ht="14.25" customHeight="1" x14ac:dyDescent="0.3">
      <c r="H6" s="15"/>
    </row>
    <row r="8" spans="1:11" ht="14.25" customHeight="1" x14ac:dyDescent="0.3">
      <c r="A8" s="16" t="s">
        <v>36</v>
      </c>
      <c r="B8" s="16" t="s">
        <v>37</v>
      </c>
      <c r="C8" s="16" t="s">
        <v>16</v>
      </c>
      <c r="D8" s="16" t="s">
        <v>5</v>
      </c>
      <c r="E8" s="16" t="s">
        <v>14</v>
      </c>
      <c r="F8" s="16" t="s">
        <v>34</v>
      </c>
      <c r="G8" s="16" t="s">
        <v>38</v>
      </c>
      <c r="H8" s="16" t="s">
        <v>39</v>
      </c>
      <c r="I8" s="16" t="s">
        <v>40</v>
      </c>
      <c r="J8" s="16" t="s">
        <v>41</v>
      </c>
      <c r="K8" s="16" t="s">
        <v>42</v>
      </c>
    </row>
    <row r="9" spans="1:11" ht="120" customHeight="1" x14ac:dyDescent="0.3">
      <c r="A9" s="17" t="s">
        <v>43</v>
      </c>
      <c r="B9" s="18" t="s">
        <v>44</v>
      </c>
      <c r="C9" s="19" t="s">
        <v>17</v>
      </c>
      <c r="D9" s="20" t="s">
        <v>10</v>
      </c>
      <c r="E9" s="19" t="s">
        <v>10</v>
      </c>
      <c r="F9" s="18" t="s">
        <v>45</v>
      </c>
      <c r="G9" s="18" t="s">
        <v>46</v>
      </c>
      <c r="H9" s="18" t="s">
        <v>47</v>
      </c>
      <c r="I9" s="18" t="s">
        <v>48</v>
      </c>
      <c r="J9" s="18" t="s">
        <v>49</v>
      </c>
      <c r="K9" s="21" t="s">
        <v>50</v>
      </c>
    </row>
    <row r="10" spans="1:11" ht="72" customHeight="1" x14ac:dyDescent="0.3">
      <c r="A10" s="22" t="s">
        <v>51</v>
      </c>
      <c r="B10" s="23" t="s">
        <v>52</v>
      </c>
      <c r="C10" s="24" t="s">
        <v>17</v>
      </c>
      <c r="D10" s="25" t="s">
        <v>11</v>
      </c>
      <c r="E10" s="24" t="s">
        <v>10</v>
      </c>
      <c r="F10" s="23" t="s">
        <v>53</v>
      </c>
      <c r="G10" s="23" t="s">
        <v>54</v>
      </c>
      <c r="H10" s="23" t="s">
        <v>55</v>
      </c>
      <c r="I10" s="23" t="s">
        <v>56</v>
      </c>
      <c r="J10" s="23" t="s">
        <v>57</v>
      </c>
      <c r="K10" s="26" t="s">
        <v>58</v>
      </c>
    </row>
    <row r="11" spans="1:11" ht="84" customHeight="1" x14ac:dyDescent="0.3">
      <c r="A11" s="17" t="s">
        <v>59</v>
      </c>
      <c r="B11" s="18" t="s">
        <v>60</v>
      </c>
      <c r="C11" s="19" t="s">
        <v>17</v>
      </c>
      <c r="D11" s="20" t="s">
        <v>10</v>
      </c>
      <c r="E11" s="19" t="s">
        <v>9</v>
      </c>
      <c r="F11" s="18" t="s">
        <v>53</v>
      </c>
      <c r="G11" s="18" t="s">
        <v>54</v>
      </c>
      <c r="H11" s="18" t="s">
        <v>61</v>
      </c>
      <c r="I11" s="18" t="s">
        <v>62</v>
      </c>
      <c r="J11" s="18" t="s">
        <v>63</v>
      </c>
      <c r="K11" s="21" t="s">
        <v>64</v>
      </c>
    </row>
    <row r="12" spans="1:11" ht="72" customHeight="1" x14ac:dyDescent="0.3">
      <c r="A12" s="22" t="s">
        <v>65</v>
      </c>
      <c r="B12" s="23" t="s">
        <v>66</v>
      </c>
      <c r="C12" s="24" t="s">
        <v>17</v>
      </c>
      <c r="D12" s="25" t="s">
        <v>11</v>
      </c>
      <c r="E12" s="24" t="s">
        <v>10</v>
      </c>
      <c r="F12" s="23" t="s">
        <v>53</v>
      </c>
      <c r="G12" s="23" t="s">
        <v>54</v>
      </c>
      <c r="H12" s="23" t="s">
        <v>67</v>
      </c>
      <c r="I12" s="23" t="s">
        <v>68</v>
      </c>
      <c r="J12" s="23" t="s">
        <v>69</v>
      </c>
      <c r="K12" s="26" t="s">
        <v>70</v>
      </c>
    </row>
    <row r="13" spans="1:11" ht="180" customHeight="1" x14ac:dyDescent="0.3">
      <c r="A13" s="17" t="s">
        <v>71</v>
      </c>
      <c r="B13" s="18" t="s">
        <v>72</v>
      </c>
      <c r="C13" s="19" t="s">
        <v>17</v>
      </c>
      <c r="D13" s="27" t="s">
        <v>9</v>
      </c>
      <c r="E13" s="19" t="s">
        <v>9</v>
      </c>
      <c r="F13" s="18" t="s">
        <v>53</v>
      </c>
      <c r="G13" s="18" t="s">
        <v>54</v>
      </c>
      <c r="H13" s="18" t="s">
        <v>73</v>
      </c>
      <c r="I13" s="18" t="s">
        <v>74</v>
      </c>
      <c r="J13" s="18" t="s">
        <v>75</v>
      </c>
      <c r="K13" s="21" t="s">
        <v>76</v>
      </c>
    </row>
    <row r="14" spans="1:11" ht="84" customHeight="1" x14ac:dyDescent="0.3">
      <c r="A14" s="22" t="s">
        <v>77</v>
      </c>
      <c r="B14" s="23" t="s">
        <v>78</v>
      </c>
      <c r="C14" s="24" t="s">
        <v>18</v>
      </c>
      <c r="D14" s="20" t="s">
        <v>10</v>
      </c>
      <c r="E14" s="24" t="s">
        <v>10</v>
      </c>
      <c r="F14" s="23" t="s">
        <v>53</v>
      </c>
      <c r="G14" s="23" t="s">
        <v>79</v>
      </c>
      <c r="H14" s="23" t="s">
        <v>80</v>
      </c>
      <c r="I14" s="23" t="s">
        <v>81</v>
      </c>
      <c r="J14" s="23" t="s">
        <v>82</v>
      </c>
      <c r="K14" s="26" t="s">
        <v>83</v>
      </c>
    </row>
    <row r="15" spans="1:11" ht="96" customHeight="1" x14ac:dyDescent="0.3">
      <c r="A15" s="17" t="s">
        <v>84</v>
      </c>
      <c r="B15" s="18" t="s">
        <v>85</v>
      </c>
      <c r="C15" s="19" t="s">
        <v>18</v>
      </c>
      <c r="D15" s="28" t="s">
        <v>8</v>
      </c>
      <c r="E15" s="19" t="s">
        <v>8</v>
      </c>
      <c r="F15" s="18" t="s">
        <v>53</v>
      </c>
      <c r="G15" s="18" t="s">
        <v>86</v>
      </c>
      <c r="H15" s="18" t="s">
        <v>87</v>
      </c>
      <c r="I15" s="18" t="s">
        <v>88</v>
      </c>
      <c r="J15" s="18" t="s">
        <v>89</v>
      </c>
      <c r="K15" s="21" t="s">
        <v>90</v>
      </c>
    </row>
    <row r="16" spans="1:11" ht="84" customHeight="1" x14ac:dyDescent="0.3">
      <c r="A16" s="22" t="s">
        <v>91</v>
      </c>
      <c r="B16" s="23" t="s">
        <v>92</v>
      </c>
      <c r="C16" s="24" t="s">
        <v>18</v>
      </c>
      <c r="D16" s="25" t="s">
        <v>11</v>
      </c>
      <c r="E16" s="24" t="s">
        <v>11</v>
      </c>
      <c r="F16" s="23" t="s">
        <v>53</v>
      </c>
      <c r="G16" s="23" t="s">
        <v>93</v>
      </c>
      <c r="H16" s="23" t="s">
        <v>94</v>
      </c>
      <c r="I16" s="23" t="s">
        <v>95</v>
      </c>
      <c r="J16" s="23" t="s">
        <v>96</v>
      </c>
      <c r="K16" s="26" t="s">
        <v>97</v>
      </c>
    </row>
    <row r="17" spans="1:11" ht="84" customHeight="1" x14ac:dyDescent="0.3">
      <c r="A17" s="17" t="s">
        <v>98</v>
      </c>
      <c r="B17" s="18" t="s">
        <v>99</v>
      </c>
      <c r="C17" s="19" t="s">
        <v>19</v>
      </c>
      <c r="D17" s="20" t="s">
        <v>10</v>
      </c>
      <c r="E17" s="19" t="s">
        <v>10</v>
      </c>
      <c r="F17" s="18" t="s">
        <v>53</v>
      </c>
      <c r="G17" s="18" t="s">
        <v>100</v>
      </c>
      <c r="H17" s="18" t="s">
        <v>101</v>
      </c>
      <c r="I17" s="18" t="s">
        <v>102</v>
      </c>
      <c r="J17" s="18" t="s">
        <v>103</v>
      </c>
      <c r="K17" s="18" t="s">
        <v>104</v>
      </c>
    </row>
    <row r="18" spans="1:11" ht="72" customHeight="1" x14ac:dyDescent="0.3">
      <c r="A18" s="22" t="s">
        <v>105</v>
      </c>
      <c r="B18" s="23" t="s">
        <v>106</v>
      </c>
      <c r="C18" s="24" t="s">
        <v>19</v>
      </c>
      <c r="D18" s="27" t="s">
        <v>9</v>
      </c>
      <c r="E18" s="24" t="s">
        <v>9</v>
      </c>
      <c r="F18" s="23" t="s">
        <v>53</v>
      </c>
      <c r="G18" s="23" t="s">
        <v>107</v>
      </c>
      <c r="H18" s="23" t="s">
        <v>108</v>
      </c>
      <c r="I18" s="23" t="s">
        <v>109</v>
      </c>
      <c r="J18" s="23" t="s">
        <v>110</v>
      </c>
      <c r="K18" s="26" t="s">
        <v>111</v>
      </c>
    </row>
    <row r="19" spans="1:11" ht="72" customHeight="1" x14ac:dyDescent="0.3">
      <c r="A19" s="17" t="s">
        <v>112</v>
      </c>
      <c r="B19" s="18" t="s">
        <v>113</v>
      </c>
      <c r="C19" s="19" t="s">
        <v>19</v>
      </c>
      <c r="D19" s="28" t="s">
        <v>8</v>
      </c>
      <c r="E19" s="19" t="s">
        <v>8</v>
      </c>
      <c r="F19" s="18" t="s">
        <v>53</v>
      </c>
      <c r="G19" s="18" t="s">
        <v>114</v>
      </c>
      <c r="H19" s="18" t="s">
        <v>115</v>
      </c>
      <c r="I19" s="18" t="s">
        <v>116</v>
      </c>
      <c r="J19" s="18" t="s">
        <v>117</v>
      </c>
      <c r="K19" s="21" t="s">
        <v>118</v>
      </c>
    </row>
    <row r="20" spans="1:11" ht="120" customHeight="1" x14ac:dyDescent="0.3">
      <c r="A20" s="22" t="s">
        <v>119</v>
      </c>
      <c r="B20" s="23" t="s">
        <v>120</v>
      </c>
      <c r="C20" s="24" t="s">
        <v>19</v>
      </c>
      <c r="D20" s="27" t="s">
        <v>9</v>
      </c>
      <c r="E20" s="24" t="s">
        <v>9</v>
      </c>
      <c r="F20" s="23" t="s">
        <v>53</v>
      </c>
      <c r="G20" s="23" t="s">
        <v>121</v>
      </c>
      <c r="H20" s="23" t="s">
        <v>122</v>
      </c>
      <c r="I20" s="23" t="s">
        <v>123</v>
      </c>
      <c r="J20" s="23" t="s">
        <v>124</v>
      </c>
      <c r="K20" s="26" t="s">
        <v>125</v>
      </c>
    </row>
    <row r="21" spans="1:11" ht="96" customHeight="1" x14ac:dyDescent="0.3">
      <c r="A21" s="17" t="s">
        <v>126</v>
      </c>
      <c r="B21" s="18" t="s">
        <v>127</v>
      </c>
      <c r="C21" s="19" t="s">
        <v>18</v>
      </c>
      <c r="D21" s="27" t="s">
        <v>9</v>
      </c>
      <c r="E21" s="19" t="s">
        <v>9</v>
      </c>
      <c r="F21" s="18" t="s">
        <v>128</v>
      </c>
      <c r="G21" s="18" t="s">
        <v>129</v>
      </c>
      <c r="H21" s="18" t="s">
        <v>130</v>
      </c>
      <c r="I21" s="18" t="s">
        <v>131</v>
      </c>
      <c r="J21" s="18" t="s">
        <v>132</v>
      </c>
      <c r="K21" s="21" t="s">
        <v>133</v>
      </c>
    </row>
    <row r="22" spans="1:11" ht="108" customHeight="1" x14ac:dyDescent="0.3">
      <c r="A22" s="22" t="s">
        <v>134</v>
      </c>
      <c r="B22" s="23" t="s">
        <v>135</v>
      </c>
      <c r="C22" s="24" t="s">
        <v>19</v>
      </c>
      <c r="D22" s="28" t="s">
        <v>8</v>
      </c>
      <c r="E22" s="24" t="s">
        <v>8</v>
      </c>
      <c r="F22" s="23" t="s">
        <v>136</v>
      </c>
      <c r="G22" s="23" t="s">
        <v>137</v>
      </c>
      <c r="H22" s="23" t="s">
        <v>138</v>
      </c>
      <c r="I22" s="23" t="s">
        <v>139</v>
      </c>
      <c r="J22" s="23" t="s">
        <v>140</v>
      </c>
      <c r="K22" s="23" t="s">
        <v>141</v>
      </c>
    </row>
    <row r="23" spans="1:11" ht="108" customHeight="1" x14ac:dyDescent="0.3">
      <c r="A23" s="17" t="s">
        <v>142</v>
      </c>
      <c r="B23" s="18" t="s">
        <v>143</v>
      </c>
      <c r="C23" s="19" t="s">
        <v>20</v>
      </c>
      <c r="D23" s="28" t="s">
        <v>8</v>
      </c>
      <c r="E23" s="19" t="s">
        <v>8</v>
      </c>
      <c r="F23" s="18" t="s">
        <v>144</v>
      </c>
      <c r="G23" s="18" t="s">
        <v>145</v>
      </c>
      <c r="H23" s="18" t="s">
        <v>146</v>
      </c>
      <c r="I23" s="18" t="s">
        <v>147</v>
      </c>
      <c r="J23" s="18" t="s">
        <v>148</v>
      </c>
      <c r="K23" s="21" t="s">
        <v>149</v>
      </c>
    </row>
    <row r="24" spans="1:11" ht="96" customHeight="1" x14ac:dyDescent="0.3">
      <c r="A24" s="22" t="s">
        <v>150</v>
      </c>
      <c r="B24" s="23" t="s">
        <v>151</v>
      </c>
      <c r="C24" s="24" t="s">
        <v>20</v>
      </c>
      <c r="D24" s="27" t="s">
        <v>9</v>
      </c>
      <c r="E24" s="24" t="s">
        <v>9</v>
      </c>
      <c r="F24" s="23" t="s">
        <v>144</v>
      </c>
      <c r="G24" s="23" t="s">
        <v>152</v>
      </c>
      <c r="H24" s="23" t="s">
        <v>153</v>
      </c>
      <c r="I24" s="23" t="s">
        <v>154</v>
      </c>
      <c r="J24" s="23" t="s">
        <v>155</v>
      </c>
      <c r="K24" s="26" t="s">
        <v>156</v>
      </c>
    </row>
    <row r="25" spans="1:11" ht="84" customHeight="1" x14ac:dyDescent="0.3">
      <c r="A25" s="17" t="s">
        <v>157</v>
      </c>
      <c r="B25" s="18" t="s">
        <v>158</v>
      </c>
      <c r="C25" s="19" t="s">
        <v>20</v>
      </c>
      <c r="D25" s="27" t="s">
        <v>9</v>
      </c>
      <c r="E25" s="19" t="s">
        <v>9</v>
      </c>
      <c r="F25" s="18" t="s">
        <v>144</v>
      </c>
      <c r="G25" s="18" t="s">
        <v>159</v>
      </c>
      <c r="H25" s="18" t="s">
        <v>160</v>
      </c>
      <c r="I25" s="18" t="s">
        <v>161</v>
      </c>
      <c r="J25" s="18" t="s">
        <v>162</v>
      </c>
      <c r="K25" s="21" t="s">
        <v>163</v>
      </c>
    </row>
    <row r="26" spans="1:11" ht="120" customHeight="1" x14ac:dyDescent="0.3">
      <c r="A26" s="22" t="s">
        <v>164</v>
      </c>
      <c r="B26" s="23" t="s">
        <v>165</v>
      </c>
      <c r="C26" s="24" t="s">
        <v>20</v>
      </c>
      <c r="D26" s="27" t="s">
        <v>9</v>
      </c>
      <c r="E26" s="24" t="s">
        <v>9</v>
      </c>
      <c r="F26" s="23" t="s">
        <v>144</v>
      </c>
      <c r="G26" s="23" t="s">
        <v>166</v>
      </c>
      <c r="H26" s="23" t="s">
        <v>167</v>
      </c>
      <c r="I26" s="23" t="s">
        <v>168</v>
      </c>
      <c r="J26" s="23" t="s">
        <v>169</v>
      </c>
      <c r="K26" s="26" t="s">
        <v>170</v>
      </c>
    </row>
    <row r="27" spans="1:11" ht="84" customHeight="1" x14ac:dyDescent="0.3">
      <c r="A27" s="17" t="s">
        <v>171</v>
      </c>
      <c r="B27" s="18" t="s">
        <v>172</v>
      </c>
      <c r="C27" s="19" t="s">
        <v>20</v>
      </c>
      <c r="D27" s="20" t="s">
        <v>10</v>
      </c>
      <c r="E27" s="19" t="s">
        <v>10</v>
      </c>
      <c r="F27" s="18" t="s">
        <v>144</v>
      </c>
      <c r="G27" s="18" t="s">
        <v>173</v>
      </c>
      <c r="H27" s="18" t="s">
        <v>174</v>
      </c>
      <c r="I27" s="18" t="s">
        <v>175</v>
      </c>
      <c r="J27" s="18" t="s">
        <v>176</v>
      </c>
      <c r="K27" s="21" t="s">
        <v>177</v>
      </c>
    </row>
    <row r="28" spans="1:11" ht="120" customHeight="1" x14ac:dyDescent="0.3">
      <c r="A28" s="22" t="s">
        <v>178</v>
      </c>
      <c r="B28" s="23" t="s">
        <v>179</v>
      </c>
      <c r="C28" s="24" t="s">
        <v>21</v>
      </c>
      <c r="D28" s="27" t="s">
        <v>9</v>
      </c>
      <c r="E28" s="24" t="s">
        <v>9</v>
      </c>
      <c r="F28" s="23" t="s">
        <v>180</v>
      </c>
      <c r="G28" s="23" t="s">
        <v>181</v>
      </c>
      <c r="H28" s="23" t="s">
        <v>182</v>
      </c>
      <c r="I28" s="23" t="s">
        <v>183</v>
      </c>
      <c r="J28" s="23" t="s">
        <v>184</v>
      </c>
      <c r="K28" s="26" t="s">
        <v>185</v>
      </c>
    </row>
    <row r="29" spans="1:11" ht="120" customHeight="1" x14ac:dyDescent="0.3">
      <c r="A29" s="17" t="s">
        <v>186</v>
      </c>
      <c r="B29" s="18" t="s">
        <v>187</v>
      </c>
      <c r="C29" s="19" t="s">
        <v>21</v>
      </c>
      <c r="D29" s="27" t="s">
        <v>9</v>
      </c>
      <c r="E29" s="19" t="s">
        <v>9</v>
      </c>
      <c r="F29" s="18" t="s">
        <v>180</v>
      </c>
      <c r="G29" s="18" t="s">
        <v>188</v>
      </c>
      <c r="H29" s="18" t="s">
        <v>189</v>
      </c>
      <c r="I29" s="18" t="s">
        <v>190</v>
      </c>
      <c r="J29" s="18" t="s">
        <v>191</v>
      </c>
      <c r="K29" s="21" t="s">
        <v>192</v>
      </c>
    </row>
    <row r="30" spans="1:11" ht="108" customHeight="1" x14ac:dyDescent="0.3">
      <c r="A30" s="22" t="s">
        <v>193</v>
      </c>
      <c r="B30" s="23" t="s">
        <v>194</v>
      </c>
      <c r="C30" s="24" t="s">
        <v>21</v>
      </c>
      <c r="D30" s="28" t="s">
        <v>8</v>
      </c>
      <c r="E30" s="24" t="s">
        <v>8</v>
      </c>
      <c r="F30" s="23" t="s">
        <v>144</v>
      </c>
      <c r="G30" s="23" t="s">
        <v>195</v>
      </c>
      <c r="H30" s="23" t="s">
        <v>196</v>
      </c>
      <c r="I30" s="23" t="s">
        <v>197</v>
      </c>
      <c r="J30" s="23" t="s">
        <v>198</v>
      </c>
      <c r="K30" s="26" t="s">
        <v>199</v>
      </c>
    </row>
    <row r="31" spans="1:11" ht="132" customHeight="1" x14ac:dyDescent="0.3">
      <c r="A31" s="17" t="s">
        <v>200</v>
      </c>
      <c r="B31" s="18" t="s">
        <v>201</v>
      </c>
      <c r="C31" s="19" t="s">
        <v>21</v>
      </c>
      <c r="D31" s="20" t="s">
        <v>10</v>
      </c>
      <c r="E31" s="19" t="s">
        <v>10</v>
      </c>
      <c r="F31" s="18" t="s">
        <v>202</v>
      </c>
      <c r="G31" s="18" t="s">
        <v>203</v>
      </c>
      <c r="H31" s="18" t="s">
        <v>204</v>
      </c>
      <c r="I31" s="18" t="s">
        <v>205</v>
      </c>
      <c r="J31" s="18" t="s">
        <v>206</v>
      </c>
      <c r="K31" s="21" t="s">
        <v>207</v>
      </c>
    </row>
    <row r="32" spans="1:11" ht="132" customHeight="1" x14ac:dyDescent="0.3">
      <c r="A32" s="17" t="s">
        <v>208</v>
      </c>
      <c r="B32" s="18" t="s">
        <v>209</v>
      </c>
      <c r="C32" s="19" t="s">
        <v>22</v>
      </c>
      <c r="D32" s="27" t="s">
        <v>9</v>
      </c>
      <c r="E32" s="19" t="s">
        <v>9</v>
      </c>
      <c r="F32" s="18" t="s">
        <v>128</v>
      </c>
      <c r="G32" s="18" t="s">
        <v>210</v>
      </c>
      <c r="H32" s="18" t="s">
        <v>211</v>
      </c>
      <c r="I32" s="18" t="s">
        <v>212</v>
      </c>
      <c r="J32" s="18" t="s">
        <v>213</v>
      </c>
      <c r="K32" s="18" t="s">
        <v>214</v>
      </c>
    </row>
    <row r="33" spans="1:11" ht="120" customHeight="1" x14ac:dyDescent="0.3">
      <c r="A33" s="22" t="s">
        <v>215</v>
      </c>
      <c r="B33" s="23" t="s">
        <v>216</v>
      </c>
      <c r="C33" s="24" t="s">
        <v>22</v>
      </c>
      <c r="D33" s="28" t="s">
        <v>8</v>
      </c>
      <c r="E33" s="24" t="s">
        <v>8</v>
      </c>
      <c r="F33" s="23" t="s">
        <v>128</v>
      </c>
      <c r="G33" s="23" t="s">
        <v>217</v>
      </c>
      <c r="H33" s="23" t="s">
        <v>218</v>
      </c>
      <c r="I33" s="23" t="s">
        <v>219</v>
      </c>
      <c r="J33" s="23" t="s">
        <v>220</v>
      </c>
      <c r="K33" s="26" t="s">
        <v>221</v>
      </c>
    </row>
    <row r="34" spans="1:11" ht="108" customHeight="1" x14ac:dyDescent="0.3">
      <c r="A34" s="17" t="s">
        <v>222</v>
      </c>
      <c r="B34" s="18" t="s">
        <v>223</v>
      </c>
      <c r="C34" s="19" t="s">
        <v>22</v>
      </c>
      <c r="D34" s="20" t="s">
        <v>10</v>
      </c>
      <c r="E34" s="19" t="s">
        <v>10</v>
      </c>
      <c r="F34" s="18" t="s">
        <v>128</v>
      </c>
      <c r="G34" s="18" t="s">
        <v>224</v>
      </c>
      <c r="H34" s="18" t="s">
        <v>225</v>
      </c>
      <c r="I34" s="18" t="s">
        <v>226</v>
      </c>
      <c r="J34" s="18" t="s">
        <v>227</v>
      </c>
      <c r="K34" s="18" t="s">
        <v>228</v>
      </c>
    </row>
    <row r="35" spans="1:11" ht="120" customHeight="1" x14ac:dyDescent="0.3">
      <c r="A35" s="17" t="s">
        <v>229</v>
      </c>
      <c r="B35" s="23" t="s">
        <v>230</v>
      </c>
      <c r="C35" s="24" t="s">
        <v>22</v>
      </c>
      <c r="D35" s="20" t="s">
        <v>10</v>
      </c>
      <c r="E35" s="24" t="s">
        <v>8</v>
      </c>
      <c r="F35" s="23" t="s">
        <v>144</v>
      </c>
      <c r="G35" s="23" t="s">
        <v>231</v>
      </c>
      <c r="H35" s="23" t="s">
        <v>232</v>
      </c>
      <c r="I35" s="23" t="s">
        <v>233</v>
      </c>
      <c r="J35" s="23" t="s">
        <v>234</v>
      </c>
      <c r="K35" s="23"/>
    </row>
    <row r="36" spans="1:11" ht="120" customHeight="1" x14ac:dyDescent="0.3">
      <c r="A36" s="17" t="s">
        <v>235</v>
      </c>
      <c r="B36" s="18" t="s">
        <v>236</v>
      </c>
      <c r="C36" s="19" t="s">
        <v>22</v>
      </c>
      <c r="D36" s="28" t="s">
        <v>8</v>
      </c>
      <c r="E36" s="19" t="s">
        <v>8</v>
      </c>
      <c r="F36" s="18" t="s">
        <v>136</v>
      </c>
      <c r="G36" s="18" t="s">
        <v>237</v>
      </c>
      <c r="H36" s="18" t="s">
        <v>238</v>
      </c>
      <c r="I36" s="18" t="s">
        <v>239</v>
      </c>
      <c r="J36" s="18" t="s">
        <v>240</v>
      </c>
      <c r="K36" s="21" t="s">
        <v>241</v>
      </c>
    </row>
    <row r="37" spans="1:11" ht="108" customHeight="1" x14ac:dyDescent="0.3">
      <c r="A37" s="17" t="s">
        <v>242</v>
      </c>
      <c r="B37" s="23" t="s">
        <v>243</v>
      </c>
      <c r="C37" s="24" t="s">
        <v>22</v>
      </c>
      <c r="D37" s="20" t="s">
        <v>10</v>
      </c>
      <c r="E37" s="24" t="s">
        <v>10</v>
      </c>
      <c r="F37" s="23" t="s">
        <v>128</v>
      </c>
      <c r="G37" s="23" t="s">
        <v>244</v>
      </c>
      <c r="H37" s="23" t="s">
        <v>245</v>
      </c>
      <c r="I37" s="23" t="s">
        <v>246</v>
      </c>
      <c r="J37" s="23" t="s">
        <v>247</v>
      </c>
      <c r="K37" s="23"/>
    </row>
    <row r="38" spans="1:11" ht="120" customHeight="1" x14ac:dyDescent="0.3">
      <c r="A38" s="22" t="s">
        <v>248</v>
      </c>
      <c r="B38" s="23" t="s">
        <v>249</v>
      </c>
      <c r="C38" s="24" t="s">
        <v>23</v>
      </c>
      <c r="D38" s="29" t="s">
        <v>9</v>
      </c>
      <c r="E38" s="24" t="s">
        <v>9</v>
      </c>
      <c r="F38" s="23" t="s">
        <v>250</v>
      </c>
      <c r="G38" s="23" t="s">
        <v>251</v>
      </c>
      <c r="H38" s="23" t="s">
        <v>252</v>
      </c>
      <c r="I38" s="23" t="s">
        <v>253</v>
      </c>
      <c r="J38" s="23" t="s">
        <v>254</v>
      </c>
      <c r="K38" s="32" t="s">
        <v>271</v>
      </c>
    </row>
    <row r="39" spans="1:11" ht="120" customHeight="1" x14ac:dyDescent="0.3">
      <c r="A39" s="17" t="s">
        <v>255</v>
      </c>
      <c r="B39" s="18" t="s">
        <v>256</v>
      </c>
      <c r="C39" s="19" t="s">
        <v>24</v>
      </c>
      <c r="D39" s="30" t="s">
        <v>11</v>
      </c>
      <c r="E39" s="19" t="s">
        <v>11</v>
      </c>
      <c r="F39" s="18" t="s">
        <v>257</v>
      </c>
      <c r="G39" s="18" t="s">
        <v>258</v>
      </c>
      <c r="H39" s="18" t="s">
        <v>259</v>
      </c>
      <c r="I39" s="18" t="s">
        <v>260</v>
      </c>
      <c r="J39" s="18" t="s">
        <v>261</v>
      </c>
      <c r="K39" s="33" t="s">
        <v>270</v>
      </c>
    </row>
    <row r="40" spans="1:11" ht="120" customHeight="1" x14ac:dyDescent="0.3">
      <c r="A40" s="22" t="s">
        <v>262</v>
      </c>
      <c r="B40" s="23" t="s">
        <v>263</v>
      </c>
      <c r="C40" s="24" t="s">
        <v>25</v>
      </c>
      <c r="D40" s="31" t="s">
        <v>10</v>
      </c>
      <c r="E40" s="24" t="s">
        <v>9</v>
      </c>
      <c r="F40" s="23" t="s">
        <v>264</v>
      </c>
      <c r="G40" s="23" t="s">
        <v>265</v>
      </c>
      <c r="H40" s="23" t="s">
        <v>266</v>
      </c>
      <c r="I40" s="23" t="s">
        <v>267</v>
      </c>
      <c r="J40" s="23" t="s">
        <v>268</v>
      </c>
      <c r="K40" s="32" t="s">
        <v>269</v>
      </c>
    </row>
  </sheetData>
  <mergeCells count="1">
    <mergeCell ref="A1:C1"/>
  </mergeCells>
  <hyperlinks>
    <hyperlink ref="K9" r:id="rId1" xr:uid="{00000000-0004-0000-0100-000000000000}"/>
    <hyperlink ref="K10" r:id="rId2" xr:uid="{00000000-0004-0000-0100-000001000000}"/>
    <hyperlink ref="K11" r:id="rId3" xr:uid="{00000000-0004-0000-0100-000002000000}"/>
    <hyperlink ref="K12" r:id="rId4" xr:uid="{00000000-0004-0000-0100-000003000000}"/>
    <hyperlink ref="K13" r:id="rId5" xr:uid="{00000000-0004-0000-0100-000004000000}"/>
    <hyperlink ref="K14" r:id="rId6" xr:uid="{00000000-0004-0000-0100-000005000000}"/>
    <hyperlink ref="K15" r:id="rId7" xr:uid="{00000000-0004-0000-0100-000006000000}"/>
    <hyperlink ref="K16" r:id="rId8" xr:uid="{00000000-0004-0000-0100-000007000000}"/>
    <hyperlink ref="K18" r:id="rId9" xr:uid="{00000000-0004-0000-0100-000008000000}"/>
    <hyperlink ref="K19" r:id="rId10" xr:uid="{00000000-0004-0000-0100-000009000000}"/>
    <hyperlink ref="K20" r:id="rId11" xr:uid="{00000000-0004-0000-0100-00000A000000}"/>
    <hyperlink ref="K21" r:id="rId12" xr:uid="{00000000-0004-0000-0100-00000B000000}"/>
    <hyperlink ref="K23" r:id="rId13" xr:uid="{00000000-0004-0000-0100-00000C000000}"/>
    <hyperlink ref="K24" r:id="rId14" xr:uid="{00000000-0004-0000-0100-00000D000000}"/>
    <hyperlink ref="K25" r:id="rId15" xr:uid="{00000000-0004-0000-0100-00000E000000}"/>
    <hyperlink ref="K26" r:id="rId16" xr:uid="{00000000-0004-0000-0100-00000F000000}"/>
    <hyperlink ref="K27" r:id="rId17" xr:uid="{00000000-0004-0000-0100-000010000000}"/>
    <hyperlink ref="K28" r:id="rId18" xr:uid="{00000000-0004-0000-0100-000011000000}"/>
    <hyperlink ref="K29" r:id="rId19" xr:uid="{00000000-0004-0000-0100-000012000000}"/>
    <hyperlink ref="K30" r:id="rId20" xr:uid="{00000000-0004-0000-0100-000013000000}"/>
    <hyperlink ref="K31" r:id="rId21" xr:uid="{00000000-0004-0000-0100-000014000000}"/>
    <hyperlink ref="K33" r:id="rId22" xr:uid="{00000000-0004-0000-0100-000015000000}"/>
    <hyperlink ref="K36" r:id="rId23" xr:uid="{00000000-0004-0000-0100-000016000000}"/>
    <hyperlink ref="K40" r:id="rId24" xr:uid="{00455027-3649-4672-B687-83F700253C41}"/>
    <hyperlink ref="K39" r:id="rId25" xr:uid="{6FEBAE30-72DA-42BE-96F5-F30F0FEBCDE9}"/>
    <hyperlink ref="K38" r:id="rId26" xr:uid="{6997F9D4-D962-48F8-9AB4-A85E07A72454}"/>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6"/>
  <sheetViews>
    <sheetView showGridLines="0" topLeftCell="A13" zoomScaleNormal="100" workbookViewId="0">
      <selection activeCell="D13" sqref="D13"/>
    </sheetView>
  </sheetViews>
  <sheetFormatPr defaultColWidth="8.6640625" defaultRowHeight="14.4" x14ac:dyDescent="0.3"/>
  <cols>
    <col min="1" max="1" width="42" customWidth="1"/>
    <col min="2" max="3" width="12" customWidth="1"/>
    <col min="4" max="4" width="20" customWidth="1"/>
  </cols>
  <sheetData>
    <row r="1" spans="1:4" ht="19.5" customHeight="1" x14ac:dyDescent="0.4">
      <c r="A1" s="35" t="s">
        <v>0</v>
      </c>
      <c r="B1" s="35"/>
      <c r="C1" s="35"/>
      <c r="D1" s="35"/>
    </row>
    <row r="3" spans="1:4" ht="15" customHeight="1" x14ac:dyDescent="0.3">
      <c r="A3" s="1" t="s">
        <v>272</v>
      </c>
      <c r="B3" t="str">
        <f>'Bug Report'!B2</f>
        <v>HireHub</v>
      </c>
      <c r="C3" s="1" t="s">
        <v>2</v>
      </c>
      <c r="D3" s="34">
        <v>46205</v>
      </c>
    </row>
    <row r="4" spans="1:4" ht="15" customHeight="1" x14ac:dyDescent="0.3">
      <c r="A4" s="1" t="s">
        <v>3</v>
      </c>
      <c r="B4" s="1">
        <f>COUNTA('Bug Report'!A9:A40)</f>
        <v>32</v>
      </c>
    </row>
    <row r="6" spans="1:4" ht="15" customHeight="1" x14ac:dyDescent="0.3">
      <c r="A6" s="2" t="s">
        <v>4</v>
      </c>
    </row>
    <row r="7" spans="1:4" ht="15" customHeight="1" x14ac:dyDescent="0.3">
      <c r="A7" s="3" t="s">
        <v>5</v>
      </c>
      <c r="B7" s="3" t="s">
        <v>6</v>
      </c>
      <c r="C7" s="3" t="s">
        <v>7</v>
      </c>
    </row>
    <row r="8" spans="1:4" ht="15" customHeight="1" x14ac:dyDescent="0.3">
      <c r="A8" s="4" t="s">
        <v>8</v>
      </c>
      <c r="B8" s="5">
        <f>COUNTIF('Bug Report'!D9:D40,A8)</f>
        <v>7</v>
      </c>
      <c r="C8" s="6">
        <f>B8/$B$4</f>
        <v>0.21875</v>
      </c>
    </row>
    <row r="9" spans="1:4" ht="15" customHeight="1" x14ac:dyDescent="0.3">
      <c r="A9" s="7" t="s">
        <v>9</v>
      </c>
      <c r="B9" s="5">
        <f>COUNTIF('Bug Report'!D9:D40,A9)</f>
        <v>11</v>
      </c>
      <c r="C9" s="6">
        <f>B9/$B$4</f>
        <v>0.34375</v>
      </c>
    </row>
    <row r="10" spans="1:4" ht="15" customHeight="1" x14ac:dyDescent="0.3">
      <c r="A10" s="8" t="s">
        <v>10</v>
      </c>
      <c r="B10" s="5">
        <f>COUNTIF('Bug Report'!D9:D40,A10)</f>
        <v>10</v>
      </c>
      <c r="C10" s="6">
        <f>B10/$B$4</f>
        <v>0.3125</v>
      </c>
    </row>
    <row r="11" spans="1:4" ht="15" customHeight="1" x14ac:dyDescent="0.3">
      <c r="A11" s="9" t="s">
        <v>11</v>
      </c>
      <c r="B11" s="5">
        <f>COUNTIF('Bug Report'!D9:D40,A11)</f>
        <v>4</v>
      </c>
      <c r="C11" s="6">
        <f>B11/$B$4</f>
        <v>0.125</v>
      </c>
    </row>
    <row r="12" spans="1:4" ht="15" customHeight="1" x14ac:dyDescent="0.3">
      <c r="A12" s="10" t="s">
        <v>12</v>
      </c>
      <c r="B12" s="10">
        <f>SUM(B8:B11)</f>
        <v>32</v>
      </c>
    </row>
    <row r="14" spans="1:4" ht="15" customHeight="1" x14ac:dyDescent="0.3">
      <c r="A14" s="2" t="s">
        <v>13</v>
      </c>
    </row>
    <row r="15" spans="1:4" ht="15" customHeight="1" x14ac:dyDescent="0.3">
      <c r="A15" s="3" t="s">
        <v>14</v>
      </c>
      <c r="B15" s="3" t="s">
        <v>6</v>
      </c>
      <c r="C15" s="3" t="s">
        <v>7</v>
      </c>
    </row>
    <row r="16" spans="1:4" ht="15" customHeight="1" x14ac:dyDescent="0.3">
      <c r="A16" s="11" t="s">
        <v>8</v>
      </c>
      <c r="B16" s="5">
        <f>COUNTIF('Bug Report'!E9:E40,A16)</f>
        <v>8</v>
      </c>
      <c r="C16" s="6">
        <f>B16/$B$4</f>
        <v>0.25</v>
      </c>
    </row>
    <row r="17" spans="1:3" ht="15" customHeight="1" x14ac:dyDescent="0.3">
      <c r="A17" s="11" t="s">
        <v>9</v>
      </c>
      <c r="B17" s="5">
        <f>COUNTIF('Bug Report'!E9:E40,A17)</f>
        <v>13</v>
      </c>
      <c r="C17" s="6">
        <f>B17/$B$4</f>
        <v>0.40625</v>
      </c>
    </row>
    <row r="18" spans="1:3" ht="15" customHeight="1" x14ac:dyDescent="0.3">
      <c r="A18" s="11" t="s">
        <v>10</v>
      </c>
      <c r="B18" s="5">
        <f>COUNTIF('Bug Report'!E9:E40,A18)</f>
        <v>9</v>
      </c>
      <c r="C18" s="6">
        <f>B18/$B$4</f>
        <v>0.28125</v>
      </c>
    </row>
    <row r="19" spans="1:3" ht="15" customHeight="1" x14ac:dyDescent="0.3">
      <c r="A19" s="11" t="s">
        <v>11</v>
      </c>
      <c r="B19" s="5">
        <f>COUNTIF('Bug Report'!E9:E40,A19)</f>
        <v>2</v>
      </c>
      <c r="C19" s="6">
        <f>B19/$B$4</f>
        <v>6.25E-2</v>
      </c>
    </row>
    <row r="20" spans="1:3" ht="15" customHeight="1" x14ac:dyDescent="0.3">
      <c r="A20" s="10" t="s">
        <v>12</v>
      </c>
      <c r="B20" s="10">
        <f>SUM(B16:B19)</f>
        <v>32</v>
      </c>
    </row>
    <row r="22" spans="1:3" ht="15" customHeight="1" x14ac:dyDescent="0.3">
      <c r="A22" s="2" t="s">
        <v>15</v>
      </c>
    </row>
    <row r="23" spans="1:3" ht="15" customHeight="1" x14ac:dyDescent="0.3">
      <c r="A23" s="3" t="s">
        <v>16</v>
      </c>
      <c r="B23" s="3" t="s">
        <v>6</v>
      </c>
      <c r="C23" s="3" t="s">
        <v>7</v>
      </c>
    </row>
    <row r="24" spans="1:3" ht="15" customHeight="1" x14ac:dyDescent="0.3">
      <c r="A24" s="11" t="s">
        <v>17</v>
      </c>
      <c r="B24" s="5">
        <f>COUNTIF('Bug Report'!C9:C40,A24)</f>
        <v>5</v>
      </c>
      <c r="C24" s="6">
        <f t="shared" ref="C24:C32" si="0">B24/$B$4</f>
        <v>0.15625</v>
      </c>
    </row>
    <row r="25" spans="1:3" ht="15" customHeight="1" x14ac:dyDescent="0.3">
      <c r="A25" s="11" t="s">
        <v>18</v>
      </c>
      <c r="B25" s="5">
        <f>COUNTIF('Bug Report'!C9:C40,A25)</f>
        <v>4</v>
      </c>
      <c r="C25" s="6">
        <f t="shared" si="0"/>
        <v>0.125</v>
      </c>
    </row>
    <row r="26" spans="1:3" ht="15" customHeight="1" x14ac:dyDescent="0.3">
      <c r="A26" s="11" t="s">
        <v>19</v>
      </c>
      <c r="B26" s="5">
        <f>COUNTIF('Bug Report'!C9:C40,A26)</f>
        <v>5</v>
      </c>
      <c r="C26" s="6">
        <f t="shared" si="0"/>
        <v>0.15625</v>
      </c>
    </row>
    <row r="27" spans="1:3" ht="15" customHeight="1" x14ac:dyDescent="0.3">
      <c r="A27" s="11" t="s">
        <v>20</v>
      </c>
      <c r="B27" s="5">
        <f>COUNTIF('Bug Report'!C9:C40,A27)</f>
        <v>5</v>
      </c>
      <c r="C27" s="6">
        <f t="shared" si="0"/>
        <v>0.15625</v>
      </c>
    </row>
    <row r="28" spans="1:3" ht="15" customHeight="1" x14ac:dyDescent="0.3">
      <c r="A28" s="11" t="s">
        <v>21</v>
      </c>
      <c r="B28" s="5">
        <f>COUNTIF('Bug Report'!C9:C40,A28)</f>
        <v>4</v>
      </c>
      <c r="C28" s="6">
        <f t="shared" si="0"/>
        <v>0.125</v>
      </c>
    </row>
    <row r="29" spans="1:3" ht="15" customHeight="1" x14ac:dyDescent="0.3">
      <c r="A29" s="11" t="s">
        <v>22</v>
      </c>
      <c r="B29" s="5">
        <f>COUNTIF('Bug Report'!C9:C40,A29)</f>
        <v>6</v>
      </c>
      <c r="C29" s="6">
        <f t="shared" si="0"/>
        <v>0.1875</v>
      </c>
    </row>
    <row r="30" spans="1:3" ht="15" customHeight="1" x14ac:dyDescent="0.3">
      <c r="A30" s="11" t="s">
        <v>23</v>
      </c>
      <c r="B30" s="5">
        <f>COUNTIF('Bug Report'!C9:C40,A30)</f>
        <v>1</v>
      </c>
      <c r="C30" s="6">
        <f t="shared" si="0"/>
        <v>3.125E-2</v>
      </c>
    </row>
    <row r="31" spans="1:3" ht="15" customHeight="1" x14ac:dyDescent="0.3">
      <c r="A31" s="11" t="s">
        <v>24</v>
      </c>
      <c r="B31" s="5">
        <f>COUNTIF('Bug Report'!C9:C40,A31)</f>
        <v>1</v>
      </c>
      <c r="C31" s="6">
        <f t="shared" si="0"/>
        <v>3.125E-2</v>
      </c>
    </row>
    <row r="32" spans="1:3" ht="15" customHeight="1" x14ac:dyDescent="0.3">
      <c r="A32" s="11" t="s">
        <v>25</v>
      </c>
      <c r="B32" s="5">
        <f>COUNTIF('Bug Report'!C9:C40,A32)</f>
        <v>1</v>
      </c>
      <c r="C32" s="6">
        <f t="shared" si="0"/>
        <v>3.125E-2</v>
      </c>
    </row>
    <row r="33" spans="1:2" ht="15" customHeight="1" x14ac:dyDescent="0.3">
      <c r="A33" s="10" t="s">
        <v>12</v>
      </c>
      <c r="B33" s="10">
        <f>SUM(B24:B32)</f>
        <v>32</v>
      </c>
    </row>
    <row r="35" spans="1:2" ht="15" customHeight="1" x14ac:dyDescent="0.3">
      <c r="A35" s="12" t="s">
        <v>26</v>
      </c>
    </row>
    <row r="36" spans="1:2" ht="15" customHeight="1" x14ac:dyDescent="0.3">
      <c r="A36" s="1" t="s">
        <v>6</v>
      </c>
      <c r="B36">
        <f>COUNTIF('Bug Report'!D9:D40,"Critical")</f>
        <v>7</v>
      </c>
    </row>
  </sheetData>
  <mergeCells count="1">
    <mergeCell ref="A1:D1"/>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Bug Report</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Rohan Studyzen</cp:lastModifiedBy>
  <cp:revision>2</cp:revision>
  <dcterms:created xsi:type="dcterms:W3CDTF">2026-07-02T01:42:06Z</dcterms:created>
  <dcterms:modified xsi:type="dcterms:W3CDTF">2026-07-02T09:59:22Z</dcterms:modified>
  <dc:language>en-US</dc:language>
</cp:coreProperties>
</file>